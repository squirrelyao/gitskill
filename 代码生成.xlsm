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N29" i="1" l="1"/>
  <c r="O29" i="1"/>
  <c r="O27" i="1"/>
  <c r="O28" i="1"/>
  <c r="N27" i="1"/>
  <c r="N28" i="1"/>
  <c r="N26" i="1"/>
  <c r="O26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J6" i="1" l="1"/>
  <c r="O4" i="1"/>
  <c r="O3" i="1"/>
  <c r="N4" i="1"/>
  <c r="N3" i="1"/>
  <c r="J7" i="1"/>
</calcChain>
</file>

<file path=xl/sharedStrings.xml><?xml version="1.0" encoding="utf-8"?>
<sst xmlns="http://schemas.openxmlformats.org/spreadsheetml/2006/main" count="104" uniqueCount="99">
  <si>
    <t>列名</t>
    <phoneticPr fontId="1" type="noConversion"/>
  </si>
  <si>
    <t>类型</t>
    <phoneticPr fontId="1" type="noConversion"/>
  </si>
  <si>
    <t>代码生成器</t>
    <phoneticPr fontId="1" type="noConversion"/>
  </si>
  <si>
    <t>约束</t>
    <phoneticPr fontId="1" type="noConversion"/>
  </si>
  <si>
    <t>大小</t>
    <phoneticPr fontId="1" type="noConversion"/>
  </si>
  <si>
    <t>String</t>
  </si>
  <si>
    <t>Date</t>
  </si>
  <si>
    <t>Double</t>
  </si>
  <si>
    <t>contract_addr</t>
  </si>
  <si>
    <t>collection_date</t>
  </si>
  <si>
    <t>collection_project</t>
  </si>
  <si>
    <t>collection_money</t>
  </si>
  <si>
    <t>get_way</t>
  </si>
  <si>
    <t>rebate</t>
  </si>
  <si>
    <t>payee</t>
  </si>
  <si>
    <t>note</t>
  </si>
  <si>
    <t>Integer</t>
    <phoneticPr fontId="1" type="noConversion"/>
  </si>
  <si>
    <t>id</t>
    <phoneticPr fontId="1" type="noConversion"/>
  </si>
  <si>
    <t>primary key</t>
    <phoneticPr fontId="1" type="noConversion"/>
  </si>
  <si>
    <t>Income</t>
    <phoneticPr fontId="1" type="noConversion"/>
  </si>
  <si>
    <t>#{id},#{contract_addr},#{collection_date},#{collection_project},#{collection_money},#{get_way},#{rebate},#{payee},#{note},#{Income},#{Income},#{Income_table}</t>
    <phoneticPr fontId="1" type="noConversion"/>
  </si>
  <si>
    <t>&lt;?xml version="1.0" encoding="UTF-8" ?&gt;  
&lt;!DOCTYPE mapper PUBLIC "-//ibatis.apache.org//DTD Mapper 3.0//EN"      
 "http://ibatis.apache.org/dtd/ibatis-3-mapper.dtd"&gt;</t>
    <phoneticPr fontId="1" type="noConversion"/>
  </si>
  <si>
    <t>包名</t>
    <phoneticPr fontId="1" type="noConversion"/>
  </si>
  <si>
    <t>tables</t>
    <phoneticPr fontId="1" type="noConversion"/>
  </si>
  <si>
    <t>工具区</t>
    <phoneticPr fontId="1" type="noConversion"/>
  </si>
  <si>
    <t>dtd</t>
    <phoneticPr fontId="1" type="noConversion"/>
  </si>
  <si>
    <t xml:space="preserve">    &lt;/foreach&gt;</t>
    <phoneticPr fontId="1" type="noConversion"/>
  </si>
  <si>
    <t>foreach_head</t>
    <phoneticPr fontId="1" type="noConversion"/>
  </si>
  <si>
    <t>foreach_end</t>
    <phoneticPr fontId="1" type="noConversion"/>
  </si>
  <si>
    <t>insert_head</t>
    <phoneticPr fontId="1" type="noConversion"/>
  </si>
  <si>
    <t>insert_end</t>
    <phoneticPr fontId="1" type="noConversion"/>
  </si>
  <si>
    <t>insert_msg</t>
    <phoneticPr fontId="1" type="noConversion"/>
  </si>
  <si>
    <t>delete_head</t>
    <phoneticPr fontId="1" type="noConversion"/>
  </si>
  <si>
    <t>delete_end</t>
    <phoneticPr fontId="1" type="noConversion"/>
  </si>
  <si>
    <t>delete_msg</t>
    <phoneticPr fontId="1" type="noConversion"/>
  </si>
  <si>
    <t>update_head</t>
    <phoneticPr fontId="1" type="noConversion"/>
  </si>
  <si>
    <t>update_end</t>
    <phoneticPr fontId="1" type="noConversion"/>
  </si>
  <si>
    <t>update_msg</t>
    <phoneticPr fontId="1" type="noConversion"/>
  </si>
  <si>
    <t xml:space="preserve">    &lt;/insert&gt;</t>
    <phoneticPr fontId="1" type="noConversion"/>
  </si>
  <si>
    <t xml:space="preserve">    insert into tableName values(messages)</t>
    <phoneticPr fontId="1" type="noConversion"/>
  </si>
  <si>
    <t xml:space="preserve">    &lt;delete id="name" parameterType="int"&gt;</t>
    <phoneticPr fontId="1" type="noConversion"/>
  </si>
  <si>
    <t xml:space="preserve">    &lt;/delete&gt;</t>
    <phoneticPr fontId="1" type="noConversion"/>
  </si>
  <si>
    <t xml:space="preserve">    &lt;/update&gt;</t>
    <phoneticPr fontId="1" type="noConversion"/>
  </si>
  <si>
    <t>namespace</t>
    <phoneticPr fontId="1" type="noConversion"/>
  </si>
  <si>
    <t>pakge</t>
    <phoneticPr fontId="1" type="noConversion"/>
  </si>
  <si>
    <t>实体名</t>
    <phoneticPr fontId="1" type="noConversion"/>
  </si>
  <si>
    <t xml:space="preserve"> Variant</t>
    <phoneticPr fontId="1" type="noConversion"/>
  </si>
  <si>
    <t xml:space="preserve">public </t>
    <phoneticPr fontId="1" type="noConversion"/>
  </si>
  <si>
    <t xml:space="preserve"> As</t>
    <phoneticPr fontId="1" type="noConversion"/>
  </si>
  <si>
    <t>case "</t>
    <phoneticPr fontId="1" type="noConversion"/>
  </si>
  <si>
    <t>=temp</t>
    <phoneticPr fontId="1" type="noConversion"/>
  </si>
  <si>
    <t xml:space="preserve">"    </t>
    <phoneticPr fontId="1" type="noConversion"/>
  </si>
  <si>
    <t>select_head</t>
    <phoneticPr fontId="1" type="noConversion"/>
  </si>
  <si>
    <t>select_end</t>
    <phoneticPr fontId="1" type="noConversion"/>
  </si>
  <si>
    <t>select_msg</t>
    <phoneticPr fontId="1" type="noConversion"/>
  </si>
  <si>
    <t xml:space="preserve">    &lt;update id="name" parameterType="entity"&gt;</t>
    <phoneticPr fontId="1" type="noConversion"/>
  </si>
  <si>
    <t>if_head</t>
    <phoneticPr fontId="1" type="noConversion"/>
  </si>
  <si>
    <t>if_end</t>
    <phoneticPr fontId="1" type="noConversion"/>
  </si>
  <si>
    <t>sql_head</t>
    <phoneticPr fontId="1" type="noConversion"/>
  </si>
  <si>
    <t>sql_end</t>
    <phoneticPr fontId="1" type="noConversion"/>
  </si>
  <si>
    <t xml:space="preserve">    &lt;/select&gt;</t>
    <phoneticPr fontId="1" type="noConversion"/>
  </si>
  <si>
    <t xml:space="preserve">    &lt;/if&gt;</t>
    <phoneticPr fontId="1" type="noConversion"/>
  </si>
  <si>
    <t xml:space="preserve">    &lt;sql id="sqlid"&gt;</t>
    <phoneticPr fontId="1" type="noConversion"/>
  </si>
  <si>
    <t xml:space="preserve">&lt;mapper namespace="dao.AAA" &gt; </t>
    <phoneticPr fontId="1" type="noConversion"/>
  </si>
  <si>
    <t>entity</t>
    <phoneticPr fontId="1" type="noConversion"/>
  </si>
  <si>
    <t xml:space="preserve">    &lt;insert id="name" parameterType="entity"&gt;</t>
    <phoneticPr fontId="1" type="noConversion"/>
  </si>
  <si>
    <t xml:space="preserve">    delete from tableName where id=#{id}</t>
    <phoneticPr fontId="1" type="noConversion"/>
  </si>
  <si>
    <t>namespace_end</t>
    <phoneticPr fontId="1" type="noConversion"/>
  </si>
  <si>
    <t xml:space="preserve">&lt;/mapper&gt; </t>
    <phoneticPr fontId="1" type="noConversion"/>
  </si>
  <si>
    <t>单加</t>
    <phoneticPr fontId="1" type="noConversion"/>
  </si>
  <si>
    <t>群加</t>
    <phoneticPr fontId="1" type="noConversion"/>
  </si>
  <si>
    <t>单删</t>
    <phoneticPr fontId="1" type="noConversion"/>
  </si>
  <si>
    <t>群删</t>
    <phoneticPr fontId="1" type="noConversion"/>
  </si>
  <si>
    <t>单改</t>
    <phoneticPr fontId="1" type="noConversion"/>
  </si>
  <si>
    <t>群改</t>
    <phoneticPr fontId="1" type="noConversion"/>
  </si>
  <si>
    <t>增</t>
    <phoneticPr fontId="1" type="noConversion"/>
  </si>
  <si>
    <t>删</t>
    <phoneticPr fontId="1" type="noConversion"/>
  </si>
  <si>
    <t>改</t>
    <phoneticPr fontId="1" type="noConversion"/>
  </si>
  <si>
    <t>查</t>
    <phoneticPr fontId="1" type="noConversion"/>
  </si>
  <si>
    <t>id单查</t>
    <phoneticPr fontId="1" type="noConversion"/>
  </si>
  <si>
    <t>自由条件分页全查</t>
    <phoneticPr fontId="1" type="noConversion"/>
  </si>
  <si>
    <t>DAO/mapper</t>
    <phoneticPr fontId="1" type="noConversion"/>
  </si>
  <si>
    <t xml:space="preserve">    update tableName set message where id=#{id}</t>
    <phoneticPr fontId="1" type="noConversion"/>
  </si>
  <si>
    <t xml:space="preserve">    &lt;foreach collection="list" item="item" index="index" open="openo" separator="separators" close="closec" &gt;  </t>
    <phoneticPr fontId="1" type="noConversion"/>
  </si>
  <si>
    <t>set_full</t>
    <phoneticPr fontId="1" type="noConversion"/>
  </si>
  <si>
    <t xml:space="preserve">    &lt;/sql&gt;</t>
    <phoneticPr fontId="1" type="noConversion"/>
  </si>
  <si>
    <t xml:space="preserve">    &lt;set&gt; message &lt;/set&gt;</t>
    <phoneticPr fontId="1" type="noConversion"/>
  </si>
  <si>
    <t xml:space="preserve">&lt;?xml version="1.0" encoding="UTF-8" ?&gt;  
&lt;!DOCTYPE mapper PUBLIC "-//ibatis.apache.org//DTD Mapper 3.0//EN"      
 "http://ibatis.apache.org/dtd/ibatis-3-mapper.dtd"&gt;_x000D_
&lt;mapper namespace="dao.tables.Income" &gt; _x000D_
    &lt;insert id="addIncome" parameterType="entity.tables.Income"&gt;_x000D_
    insert into Income_tables values(_x000D_
#{id}_x000D_
,#{contract_addr}_x000D_
,#{collection_date}_x000D_
,#{collection_project}_x000D_
,#{collection_money}_x000D_
,#{get_way}_x000D_
,#{rebate}_x000D_
,#{payee}_x000D_
,#{note}_x000D_
)_x000D_
    &lt;/insert&gt;_x000D_
    &lt;insert id="addIncomes" parameterType="List"&gt;_x000D_
            insert into Income_tables_x000D_
    &lt;foreach collection="list" item="item" index="index" open="" separator=";" close="" &gt;  _x000D_
select _x000D_
#{id}_x000D_
,#{contract_addr}_x000D_
,#{collection_date}_x000D_
,#{collection_project}_x000D_
,#{collection_money}_x000D_
,#{get_way}_x000D_
,#{rebate}_x000D_
,#{payee}_x000D_
,#{note}_x000D_
 from dual _x000D_
    &lt;/foreach&gt;_x000D_
    &lt;/insert&gt;_x000D_
_x000D_
    &lt;delete id="delIncome" parameterType="int"&gt;_x000D_
    delete from Income_tables where id=#{id}_x000D_
    &lt;/delete&gt;_x000D_
_x000D_
    &lt;delete id="delIncomes" parameterType="List"&gt;_x000D_
    delete from Income_tables where id in_x000D_
    &lt;foreach collection="list" item="item" index="index" open="(" separator="," close=")" &gt;  _x000D_
#{item}_x000D_
    &lt;/foreach&gt;_x000D_
_x000D_
    &lt;/delete&gt;_x000D_
_x000D_
_x000D_
    &lt;update id="name" parameterType="entity"&gt;_x000D_
    update Income_tables set _x000D_
contract_addr=#{contract_addr}_x000D_
,collection_date=#{collection_date}_x000D_
,collection_project=#{collection_project}_x000D_
,collection_money=#{collection_money}_x000D_
,get_way=#{get_way}_x000D_
,rebate=#{rebate}_x000D_
,payee=#{payee}_x000D_
,note=#{note}_x000D_
 where id=#{id}_x000D_
    &lt;/update&gt;_x000D_
_x000D_
    &lt;update id="updateIncomes" parameterType="List"&gt;_x000D_
    &lt;foreach collection="list" item="item" index="index" open="" separator=";" close="" &gt;  _x000D_
update Income_tables_x000D_
    &lt;set&gt; _x000D_
contract_addr=#{item.contract_addr}_x000D_
,collection_date=#{item.collection_date}_x000D_
,collection_project=#{item.collection_project}_x000D_
,collection_money=#{item.collection_money}_x000D_
,get_way=#{item.get_way}_x000D_
,rebate=#{item.rebate}_x000D_
,payee=#{item.payee}_x000D_
,note=#{item.note}_x000D_
 &lt;/set&gt;_x000D_
where id=#{item.id}_x000D_
    &lt;/foreach&gt;_x000D_
    &lt;/update&gt;_x000D_
_x000D_
_x000D_
&lt;/mapper&gt; </t>
    <phoneticPr fontId="1" type="noConversion"/>
  </si>
  <si>
    <t xml:space="preserve">    &lt;select id="selectid" parameterType="paratype" resultType="entity"&gt;</t>
    <phoneticPr fontId="1" type="noConversion"/>
  </si>
  <si>
    <t xml:space="preserve">    select * from table where id=#{id}</t>
    <phoneticPr fontId="1" type="noConversion"/>
  </si>
  <si>
    <t>符合条件数据总数</t>
    <phoneticPr fontId="1" type="noConversion"/>
  </si>
  <si>
    <t>查询bean</t>
    <phoneticPr fontId="1" type="noConversion"/>
  </si>
  <si>
    <t xml:space="preserve">    &lt;if test= " para !=null and  para!='' " &gt;</t>
    <phoneticPr fontId="1" type="noConversion"/>
  </si>
  <si>
    <t>cdata_a</t>
    <phoneticPr fontId="1" type="noConversion"/>
  </si>
  <si>
    <t>caata_b</t>
    <phoneticPr fontId="1" type="noConversion"/>
  </si>
  <si>
    <t xml:space="preserve">    &lt;![CDATA[and para &gt;=]]&gt;#{para2}</t>
    <phoneticPr fontId="1" type="noConversion"/>
  </si>
  <si>
    <t xml:space="preserve">    &lt;![CDATA[and para &lt;=]]&gt;#{para2}</t>
    <phoneticPr fontId="1" type="noConversion"/>
  </si>
  <si>
    <t>like_full</t>
    <phoneticPr fontId="1" type="noConversion"/>
  </si>
  <si>
    <t xml:space="preserve">    and para like '%'||#{para}||'%'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</si>
</sst>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2" borderId="1" xfId="0" applyFill="1" applyBorder="1"/>
    <xf numFmtId="0" fontId="0" fillId="3" borderId="0" xfId="0" applyFill="1"/>
    <xf numFmtId="0" fontId="0" fillId="3" borderId="1" xfId="0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vertical="top" wrapText="1"/>
    </xf>
    <xf numFmtId="0" fontId="0" fillId="5" borderId="1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2" xfId="0" quotePrefix="1" applyFill="1" applyBorder="1"/>
    <xf numFmtId="0" fontId="0" fillId="3" borderId="1" xfId="0" applyFill="1" applyBorder="1" applyAlignment="1">
      <alignment horizontal="center"/>
    </xf>
    <xf numFmtId="0" fontId="0" fillId="4" borderId="0" xfId="0" applyFill="1" applyAlignment="1">
      <alignment horizontal="left" vertical="top" wrapText="1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1" xfId="0" applyFill="1" applyBorder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0</xdr:row>
          <xdr:rowOff>161926</xdr:rowOff>
        </xdr:from>
        <xdr:to>
          <xdr:col>7</xdr:col>
          <xdr:colOff>276225</xdr:colOff>
          <xdr:row>2</xdr:row>
          <xdr:rowOff>9526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生成代码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00"/>
  <sheetViews>
    <sheetView tabSelected="1" topLeftCell="C16" workbookViewId="0">
      <selection activeCell="J32" sqref="J32"/>
    </sheetView>
  </sheetViews>
  <sheetFormatPr defaultRowHeight="15" customHeight="1" x14ac:dyDescent="0.15"/>
  <cols>
    <col min="1" max="1" width="83.625" style="2" customWidth="1"/>
    <col min="2" max="2" width="7" style="2" customWidth="1"/>
    <col min="3" max="3" width="20.5" style="2" customWidth="1"/>
    <col min="4" max="4" width="13.25" style="2" customWidth="1"/>
    <col min="5" max="5" width="8.875" style="2" customWidth="1"/>
    <col min="6" max="6" width="16.375" style="2" customWidth="1"/>
    <col min="7" max="7" width="9" style="2"/>
    <col min="8" max="8" width="10" style="2" customWidth="1"/>
    <col min="9" max="9" width="14.375" style="2" customWidth="1"/>
    <col min="10" max="10" width="75.875" style="2" customWidth="1"/>
    <col min="11" max="11" width="9" style="2"/>
    <col min="12" max="12" width="6" style="2" customWidth="1"/>
    <col min="13" max="13" width="7" style="2" customWidth="1"/>
    <col min="14" max="14" width="32.125" style="2" customWidth="1"/>
    <col min="15" max="15" width="39.625" style="2" customWidth="1"/>
    <col min="16" max="16384" width="9" style="2"/>
  </cols>
  <sheetData>
    <row r="1" spans="1:22" ht="15" customHeight="1" x14ac:dyDescent="0.15">
      <c r="A1" s="2">
        <v>1</v>
      </c>
      <c r="B1" s="2">
        <v>2</v>
      </c>
      <c r="C1" s="2">
        <v>3</v>
      </c>
      <c r="D1" s="2">
        <v>4</v>
      </c>
      <c r="E1" s="2">
        <v>5</v>
      </c>
      <c r="F1" s="2">
        <v>6</v>
      </c>
      <c r="G1" s="2">
        <v>7</v>
      </c>
      <c r="H1" s="2">
        <v>8</v>
      </c>
      <c r="I1" s="2">
        <v>9</v>
      </c>
      <c r="J1" s="4">
        <v>10</v>
      </c>
    </row>
    <row r="2" spans="1:22" ht="15" customHeight="1" x14ac:dyDescent="0.15">
      <c r="A2" s="13" t="s">
        <v>87</v>
      </c>
      <c r="C2" s="12" t="s">
        <v>2</v>
      </c>
      <c r="D2" s="12"/>
      <c r="E2" s="12"/>
      <c r="F2" s="12"/>
      <c r="I2" s="12" t="s">
        <v>24</v>
      </c>
      <c r="J2" s="12"/>
    </row>
    <row r="3" spans="1:22" ht="30" customHeight="1" x14ac:dyDescent="0.15">
      <c r="A3" s="13"/>
      <c r="C3" s="3" t="s">
        <v>45</v>
      </c>
      <c r="D3" s="3" t="s">
        <v>19</v>
      </c>
      <c r="E3" s="3" t="s">
        <v>22</v>
      </c>
      <c r="F3" s="3" t="s">
        <v>23</v>
      </c>
      <c r="I3" s="8" t="s">
        <v>25</v>
      </c>
      <c r="J3" s="6" t="s">
        <v>21</v>
      </c>
      <c r="K3" s="9" t="s">
        <v>47</v>
      </c>
      <c r="L3" s="9" t="s">
        <v>48</v>
      </c>
      <c r="M3" s="10" t="s">
        <v>46</v>
      </c>
      <c r="N3" s="3" t="str">
        <f>$K$3&amp;$I3&amp;$L$3&amp;$M$3</f>
        <v>public dtd As Variant</v>
      </c>
      <c r="O3" s="3" t="str">
        <f>$K$4&amp;I3&amp;$L$4&amp;I3&amp;$M$4</f>
        <v>case "dtd"    dtd=temp</v>
      </c>
      <c r="V3" s="2" t="s">
        <v>20</v>
      </c>
    </row>
    <row r="4" spans="1:22" ht="15" customHeight="1" x14ac:dyDescent="0.15">
      <c r="A4" s="13"/>
      <c r="C4" s="1" t="s">
        <v>0</v>
      </c>
      <c r="D4" s="1" t="s">
        <v>1</v>
      </c>
      <c r="E4" s="1" t="s">
        <v>4</v>
      </c>
      <c r="F4" s="1" t="s">
        <v>3</v>
      </c>
      <c r="G4" s="17" t="s">
        <v>91</v>
      </c>
      <c r="I4" s="8" t="s">
        <v>43</v>
      </c>
      <c r="J4" s="3" t="s">
        <v>63</v>
      </c>
      <c r="K4" s="9" t="s">
        <v>49</v>
      </c>
      <c r="L4" s="9" t="s">
        <v>51</v>
      </c>
      <c r="M4" s="11" t="s">
        <v>50</v>
      </c>
      <c r="N4" s="3" t="str">
        <f t="shared" ref="N4:N27" si="0">$K$3&amp;$I4&amp;$L$3&amp;$M$3</f>
        <v>public namespace As Variant</v>
      </c>
      <c r="O4" s="3" t="str">
        <f t="shared" ref="O4:O26" si="1">$K$4&amp;I4&amp;$L$4&amp;I4&amp;$M$4</f>
        <v>case "namespace"    namespace=temp</v>
      </c>
    </row>
    <row r="5" spans="1:22" ht="15" customHeight="1" x14ac:dyDescent="0.15">
      <c r="A5" s="13"/>
      <c r="C5" s="3" t="s">
        <v>17</v>
      </c>
      <c r="D5" s="3" t="s">
        <v>16</v>
      </c>
      <c r="E5" s="3"/>
      <c r="F5" s="3" t="s">
        <v>18</v>
      </c>
      <c r="I5" s="8" t="s">
        <v>67</v>
      </c>
      <c r="J5" s="3" t="s">
        <v>68</v>
      </c>
      <c r="N5" s="3" t="str">
        <f t="shared" si="0"/>
        <v>public namespace_end As Variant</v>
      </c>
      <c r="O5" s="3" t="str">
        <f t="shared" si="1"/>
        <v>case "namespace_end"    namespace_end=temp</v>
      </c>
    </row>
    <row r="6" spans="1:22" ht="15.75" customHeight="1" x14ac:dyDescent="0.15">
      <c r="A6" s="13"/>
      <c r="C6" s="3" t="s">
        <v>8</v>
      </c>
      <c r="D6" s="3" t="s">
        <v>5</v>
      </c>
      <c r="E6" s="3"/>
      <c r="F6" s="3"/>
      <c r="I6" s="8" t="s">
        <v>44</v>
      </c>
      <c r="J6" s="3" t="str">
        <f>F3</f>
        <v>tables</v>
      </c>
      <c r="N6" s="3" t="str">
        <f t="shared" si="0"/>
        <v>public pakge As Variant</v>
      </c>
      <c r="O6" s="3" t="str">
        <f t="shared" si="1"/>
        <v>case "pakge"    pakge=temp</v>
      </c>
    </row>
    <row r="7" spans="1:22" ht="15" customHeight="1" x14ac:dyDescent="0.15">
      <c r="A7" s="13"/>
      <c r="C7" s="3" t="s">
        <v>9</v>
      </c>
      <c r="D7" s="3" t="s">
        <v>6</v>
      </c>
      <c r="E7" s="3"/>
      <c r="F7" s="3"/>
      <c r="I7" s="8" t="s">
        <v>64</v>
      </c>
      <c r="J7" s="3" t="str">
        <f>D3</f>
        <v>Income</v>
      </c>
      <c r="N7" s="3" t="str">
        <f t="shared" si="0"/>
        <v>public entity As Variant</v>
      </c>
      <c r="O7" s="3" t="str">
        <f t="shared" si="1"/>
        <v>case "entity"    entity=temp</v>
      </c>
    </row>
    <row r="8" spans="1:22" ht="15" customHeight="1" x14ac:dyDescent="0.15">
      <c r="A8" s="13"/>
      <c r="C8" s="3" t="s">
        <v>10</v>
      </c>
      <c r="D8" s="3" t="s">
        <v>5</v>
      </c>
      <c r="E8" s="3"/>
      <c r="F8" s="3"/>
      <c r="I8" s="8" t="s">
        <v>27</v>
      </c>
      <c r="J8" s="3" t="s">
        <v>83</v>
      </c>
      <c r="N8" s="3" t="str">
        <f t="shared" si="0"/>
        <v>public foreach_head As Variant</v>
      </c>
      <c r="O8" s="3" t="str">
        <f t="shared" si="1"/>
        <v>case "foreach_head"    foreach_head=temp</v>
      </c>
    </row>
    <row r="9" spans="1:22" ht="15" customHeight="1" x14ac:dyDescent="0.15">
      <c r="A9" s="13"/>
      <c r="C9" s="3" t="s">
        <v>11</v>
      </c>
      <c r="D9" s="3" t="s">
        <v>7</v>
      </c>
      <c r="E9" s="3"/>
      <c r="F9" s="3"/>
      <c r="I9" s="8" t="s">
        <v>28</v>
      </c>
      <c r="J9" s="3" t="s">
        <v>26</v>
      </c>
      <c r="N9" s="3" t="str">
        <f t="shared" si="0"/>
        <v>public foreach_end As Variant</v>
      </c>
      <c r="O9" s="3" t="str">
        <f t="shared" si="1"/>
        <v>case "foreach_end"    foreach_end=temp</v>
      </c>
    </row>
    <row r="10" spans="1:22" ht="15" customHeight="1" x14ac:dyDescent="0.15">
      <c r="A10" s="13"/>
      <c r="C10" s="3" t="s">
        <v>12</v>
      </c>
      <c r="D10" s="3" t="s">
        <v>5</v>
      </c>
      <c r="E10" s="3"/>
      <c r="F10" s="3"/>
      <c r="I10" s="8" t="s">
        <v>29</v>
      </c>
      <c r="J10" s="3" t="s">
        <v>65</v>
      </c>
      <c r="N10" s="3" t="str">
        <f t="shared" si="0"/>
        <v>public insert_head As Variant</v>
      </c>
      <c r="O10" s="3" t="str">
        <f t="shared" si="1"/>
        <v>case "insert_head"    insert_head=temp</v>
      </c>
    </row>
    <row r="11" spans="1:22" ht="15" customHeight="1" x14ac:dyDescent="0.15">
      <c r="A11" s="13"/>
      <c r="C11" s="3" t="s">
        <v>13</v>
      </c>
      <c r="D11" s="3" t="s">
        <v>7</v>
      </c>
      <c r="E11" s="3"/>
      <c r="F11" s="3"/>
      <c r="I11" s="8" t="s">
        <v>30</v>
      </c>
      <c r="J11" s="3" t="s">
        <v>38</v>
      </c>
      <c r="N11" s="3" t="str">
        <f t="shared" si="0"/>
        <v>public insert_end As Variant</v>
      </c>
      <c r="O11" s="3" t="str">
        <f t="shared" si="1"/>
        <v>case "insert_end"    insert_end=temp</v>
      </c>
    </row>
    <row r="12" spans="1:22" ht="15" customHeight="1" x14ac:dyDescent="0.15">
      <c r="A12" s="13"/>
      <c r="C12" s="3" t="s">
        <v>14</v>
      </c>
      <c r="D12" s="3" t="s">
        <v>5</v>
      </c>
      <c r="E12" s="3"/>
      <c r="F12" s="3"/>
      <c r="I12" s="8" t="s">
        <v>31</v>
      </c>
      <c r="J12" s="3" t="s">
        <v>39</v>
      </c>
      <c r="N12" s="3" t="str">
        <f t="shared" si="0"/>
        <v>public insert_msg As Variant</v>
      </c>
      <c r="O12" s="3" t="str">
        <f t="shared" si="1"/>
        <v>case "insert_msg"    insert_msg=temp</v>
      </c>
    </row>
    <row r="13" spans="1:22" ht="15" customHeight="1" x14ac:dyDescent="0.15">
      <c r="A13" s="13"/>
      <c r="C13" s="3" t="s">
        <v>15</v>
      </c>
      <c r="D13" s="3" t="s">
        <v>5</v>
      </c>
      <c r="E13" s="3"/>
      <c r="F13" s="3"/>
      <c r="I13" s="8" t="s">
        <v>32</v>
      </c>
      <c r="J13" s="3" t="s">
        <v>40</v>
      </c>
      <c r="N13" s="3" t="str">
        <f t="shared" si="0"/>
        <v>public delete_head As Variant</v>
      </c>
      <c r="O13" s="3" t="str">
        <f t="shared" si="1"/>
        <v>case "delete_head"    delete_head=temp</v>
      </c>
    </row>
    <row r="14" spans="1:22" ht="15" customHeight="1" x14ac:dyDescent="0.15">
      <c r="A14" s="13"/>
      <c r="C14" s="3"/>
      <c r="D14" s="3"/>
      <c r="E14" s="3"/>
      <c r="F14" s="3"/>
      <c r="I14" s="8" t="s">
        <v>33</v>
      </c>
      <c r="J14" s="3" t="s">
        <v>41</v>
      </c>
      <c r="N14" s="3" t="str">
        <f t="shared" si="0"/>
        <v>public delete_end As Variant</v>
      </c>
      <c r="O14" s="3" t="str">
        <f t="shared" si="1"/>
        <v>case "delete_end"    delete_end=temp</v>
      </c>
    </row>
    <row r="15" spans="1:22" ht="15" customHeight="1" x14ac:dyDescent="0.15">
      <c r="A15" s="13"/>
      <c r="C15" s="3"/>
      <c r="D15" s="3"/>
      <c r="E15" s="3"/>
      <c r="F15" s="3"/>
      <c r="I15" s="8" t="s">
        <v>34</v>
      </c>
      <c r="J15" s="3" t="s">
        <v>66</v>
      </c>
      <c r="N15" s="3" t="str">
        <f t="shared" si="0"/>
        <v>public delete_msg As Variant</v>
      </c>
      <c r="O15" s="3" t="str">
        <f t="shared" si="1"/>
        <v>case "delete_msg"    delete_msg=temp</v>
      </c>
    </row>
    <row r="16" spans="1:22" ht="15" customHeight="1" x14ac:dyDescent="0.15">
      <c r="A16" s="13"/>
      <c r="C16" s="3"/>
      <c r="D16" s="3"/>
      <c r="E16" s="3"/>
      <c r="F16" s="3"/>
      <c r="I16" s="8" t="s">
        <v>35</v>
      </c>
      <c r="J16" s="3" t="s">
        <v>55</v>
      </c>
      <c r="N16" s="3" t="str">
        <f t="shared" si="0"/>
        <v>public update_head As Variant</v>
      </c>
      <c r="O16" s="3" t="str">
        <f t="shared" si="1"/>
        <v>case "update_head"    update_head=temp</v>
      </c>
    </row>
    <row r="17" spans="1:15" ht="15" customHeight="1" x14ac:dyDescent="0.15">
      <c r="A17" s="13"/>
      <c r="C17" s="3"/>
      <c r="D17" s="3"/>
      <c r="E17" s="3"/>
      <c r="F17" s="3"/>
      <c r="I17" s="8" t="s">
        <v>36</v>
      </c>
      <c r="J17" s="3" t="s">
        <v>42</v>
      </c>
      <c r="N17" s="3" t="str">
        <f t="shared" si="0"/>
        <v>public update_end As Variant</v>
      </c>
      <c r="O17" s="3" t="str">
        <f t="shared" si="1"/>
        <v>case "update_end"    update_end=temp</v>
      </c>
    </row>
    <row r="18" spans="1:15" ht="15" customHeight="1" x14ac:dyDescent="0.15">
      <c r="A18" s="13"/>
      <c r="C18" s="3"/>
      <c r="D18" s="3"/>
      <c r="E18" s="3"/>
      <c r="F18" s="3"/>
      <c r="I18" s="8" t="s">
        <v>37</v>
      </c>
      <c r="J18" s="3" t="s">
        <v>82</v>
      </c>
      <c r="N18" s="3" t="str">
        <f t="shared" si="0"/>
        <v>public update_msg As Variant</v>
      </c>
      <c r="O18" s="3" t="str">
        <f t="shared" si="1"/>
        <v>case "update_msg"    update_msg=temp</v>
      </c>
    </row>
    <row r="19" spans="1:15" ht="15" customHeight="1" x14ac:dyDescent="0.15">
      <c r="A19" s="13"/>
      <c r="C19" s="3"/>
      <c r="D19" s="3"/>
      <c r="E19" s="3"/>
      <c r="F19" s="3"/>
      <c r="I19" s="8" t="s">
        <v>52</v>
      </c>
      <c r="J19" s="3" t="s">
        <v>88</v>
      </c>
      <c r="N19" s="3" t="str">
        <f t="shared" si="0"/>
        <v>public select_head As Variant</v>
      </c>
      <c r="O19" s="3" t="str">
        <f t="shared" si="1"/>
        <v>case "select_head"    select_head=temp</v>
      </c>
    </row>
    <row r="20" spans="1:15" ht="15" customHeight="1" x14ac:dyDescent="0.15">
      <c r="A20" s="13"/>
      <c r="I20" s="8" t="s">
        <v>53</v>
      </c>
      <c r="J20" s="3" t="s">
        <v>60</v>
      </c>
      <c r="N20" s="3" t="str">
        <f t="shared" si="0"/>
        <v>public select_end As Variant</v>
      </c>
      <c r="O20" s="3" t="str">
        <f t="shared" si="1"/>
        <v>case "select_end"    select_end=temp</v>
      </c>
    </row>
    <row r="21" spans="1:15" ht="15" customHeight="1" x14ac:dyDescent="0.15">
      <c r="A21" s="13"/>
      <c r="I21" s="8" t="s">
        <v>54</v>
      </c>
      <c r="J21" s="3" t="s">
        <v>89</v>
      </c>
      <c r="N21" s="3" t="str">
        <f t="shared" si="0"/>
        <v>public select_msg As Variant</v>
      </c>
      <c r="O21" s="3" t="str">
        <f t="shared" si="1"/>
        <v>case "select_msg"    select_msg=temp</v>
      </c>
    </row>
    <row r="22" spans="1:15" ht="18" customHeight="1" x14ac:dyDescent="0.15">
      <c r="A22" s="13"/>
      <c r="B22" s="7"/>
      <c r="C22" s="7"/>
      <c r="D22" s="7"/>
      <c r="I22" s="8" t="s">
        <v>56</v>
      </c>
      <c r="J22" s="3" t="s">
        <v>92</v>
      </c>
      <c r="N22" s="3" t="str">
        <f t="shared" si="0"/>
        <v>public if_head As Variant</v>
      </c>
      <c r="O22" s="3" t="str">
        <f t="shared" si="1"/>
        <v>case "if_head"    if_head=temp</v>
      </c>
    </row>
    <row r="23" spans="1:15" ht="18" customHeight="1" x14ac:dyDescent="0.15">
      <c r="A23" s="13"/>
      <c r="B23" s="7"/>
      <c r="C23" s="7"/>
      <c r="D23" s="7"/>
      <c r="I23" s="8" t="s">
        <v>57</v>
      </c>
      <c r="J23" s="3" t="s">
        <v>61</v>
      </c>
      <c r="N23" s="3" t="str">
        <f t="shared" si="0"/>
        <v>public if_end As Variant</v>
      </c>
      <c r="O23" s="3" t="str">
        <f t="shared" si="1"/>
        <v>case "if_end"    if_end=temp</v>
      </c>
    </row>
    <row r="24" spans="1:15" ht="18" customHeight="1" x14ac:dyDescent="0.15">
      <c r="A24" s="13"/>
      <c r="B24" s="7"/>
      <c r="C24" s="7"/>
      <c r="D24" s="7"/>
      <c r="I24" s="8" t="s">
        <v>58</v>
      </c>
      <c r="J24" s="3" t="s">
        <v>62</v>
      </c>
      <c r="N24" s="3" t="str">
        <f t="shared" si="0"/>
        <v>public sql_head As Variant</v>
      </c>
      <c r="O24" s="3" t="str">
        <f t="shared" si="1"/>
        <v>case "sql_head"    sql_head=temp</v>
      </c>
    </row>
    <row r="25" spans="1:15" ht="18" customHeight="1" x14ac:dyDescent="0.15">
      <c r="A25" s="13"/>
      <c r="B25" s="7"/>
      <c r="C25" s="7"/>
      <c r="D25" s="7"/>
      <c r="I25" s="8" t="s">
        <v>59</v>
      </c>
      <c r="J25" s="3" t="s">
        <v>85</v>
      </c>
      <c r="N25" s="3" t="str">
        <f t="shared" si="0"/>
        <v>public sql_end As Variant</v>
      </c>
      <c r="O25" s="3" t="str">
        <f t="shared" si="1"/>
        <v>case "sql_end"    sql_end=temp</v>
      </c>
    </row>
    <row r="26" spans="1:15" ht="18" customHeight="1" x14ac:dyDescent="0.15">
      <c r="A26" s="13"/>
      <c r="B26" s="7"/>
      <c r="C26" s="7"/>
      <c r="D26" s="7"/>
      <c r="I26" s="8" t="s">
        <v>84</v>
      </c>
      <c r="J26" s="3" t="s">
        <v>86</v>
      </c>
      <c r="N26" s="3" t="str">
        <f>$K$3&amp;$I26&amp;$L$3&amp;$M$3</f>
        <v>public set_full As Variant</v>
      </c>
      <c r="O26" s="3" t="str">
        <f>$K$4&amp;I26&amp;$L$4&amp;I26&amp;$M$4</f>
        <v>case "set_full"    set_full=temp</v>
      </c>
    </row>
    <row r="27" spans="1:15" ht="18" customHeight="1" x14ac:dyDescent="0.15">
      <c r="A27" s="13"/>
      <c r="B27" s="7"/>
      <c r="C27" s="7"/>
      <c r="D27" s="7"/>
      <c r="I27" s="8" t="s">
        <v>93</v>
      </c>
      <c r="J27" s="3" t="s">
        <v>95</v>
      </c>
      <c r="N27" s="3" t="str">
        <f t="shared" ref="N27:N29" si="2">$K$3&amp;$I27&amp;$L$3&amp;$M$3</f>
        <v>public cdata_a As Variant</v>
      </c>
      <c r="O27" s="3" t="str">
        <f t="shared" ref="O27:O28" si="3">$K$4&amp;I27&amp;$L$4&amp;I27&amp;$M$4</f>
        <v>case "cdata_a"    cdata_a=temp</v>
      </c>
    </row>
    <row r="28" spans="1:15" ht="18" customHeight="1" x14ac:dyDescent="0.15">
      <c r="A28" s="13"/>
      <c r="B28" s="7"/>
      <c r="C28" s="7"/>
      <c r="D28" s="7"/>
      <c r="I28" s="8" t="s">
        <v>94</v>
      </c>
      <c r="J28" s="3" t="s">
        <v>96</v>
      </c>
      <c r="N28" s="3" t="str">
        <f t="shared" si="2"/>
        <v>public caata_b As Variant</v>
      </c>
      <c r="O28" s="3" t="str">
        <f t="shared" si="3"/>
        <v>case "caata_b"    caata_b=temp</v>
      </c>
    </row>
    <row r="29" spans="1:15" ht="18" customHeight="1" x14ac:dyDescent="0.15">
      <c r="A29" s="13"/>
      <c r="B29" s="7"/>
      <c r="C29" s="7"/>
      <c r="D29" s="7"/>
      <c r="I29" s="8" t="s">
        <v>97</v>
      </c>
      <c r="J29" s="3" t="s">
        <v>98</v>
      </c>
      <c r="N29" s="3" t="str">
        <f t="shared" si="2"/>
        <v>public like_full As Variant</v>
      </c>
      <c r="O29" s="3" t="str">
        <f t="shared" ref="O29" si="4">$K$4&amp;I29&amp;$L$4&amp;I29&amp;$M$4</f>
        <v>case "like_full"    like_full=temp</v>
      </c>
    </row>
    <row r="30" spans="1:15" ht="18" customHeight="1" x14ac:dyDescent="0.15">
      <c r="A30" s="13"/>
      <c r="B30" s="7"/>
      <c r="C30" s="7"/>
      <c r="D30" s="7"/>
    </row>
    <row r="31" spans="1:15" ht="18" customHeight="1" x14ac:dyDescent="0.15">
      <c r="A31" s="13"/>
      <c r="B31" s="7"/>
      <c r="C31" s="7"/>
      <c r="D31" s="7"/>
    </row>
    <row r="32" spans="1:15" ht="18" customHeight="1" x14ac:dyDescent="0.15">
      <c r="A32" s="13"/>
      <c r="B32" s="7"/>
      <c r="C32" s="7"/>
      <c r="D32" s="7"/>
    </row>
    <row r="33" spans="1:4" ht="18" customHeight="1" x14ac:dyDescent="0.15">
      <c r="A33" s="13"/>
      <c r="B33" s="7"/>
      <c r="C33" s="7"/>
      <c r="D33" s="7"/>
    </row>
    <row r="34" spans="1:4" ht="18" customHeight="1" x14ac:dyDescent="0.15">
      <c r="A34" s="13"/>
      <c r="B34" s="7"/>
      <c r="C34" s="7"/>
      <c r="D34" s="7"/>
    </row>
    <row r="35" spans="1:4" ht="18" customHeight="1" x14ac:dyDescent="0.15">
      <c r="A35" s="13"/>
      <c r="B35" s="7"/>
      <c r="C35" s="7"/>
      <c r="D35" s="7"/>
    </row>
    <row r="36" spans="1:4" ht="18" customHeight="1" x14ac:dyDescent="0.15">
      <c r="A36" s="13"/>
      <c r="B36" s="7"/>
      <c r="C36" s="7"/>
      <c r="D36" s="7"/>
    </row>
    <row r="37" spans="1:4" ht="18" customHeight="1" x14ac:dyDescent="0.15">
      <c r="A37" s="13"/>
      <c r="B37" s="7"/>
      <c r="C37" s="7"/>
      <c r="D37" s="7"/>
    </row>
    <row r="38" spans="1:4" ht="18" customHeight="1" x14ac:dyDescent="0.15">
      <c r="A38" s="13"/>
      <c r="B38" s="7"/>
      <c r="C38" s="7"/>
      <c r="D38" s="7"/>
    </row>
    <row r="39" spans="1:4" ht="18" customHeight="1" x14ac:dyDescent="0.15">
      <c r="A39" s="13"/>
      <c r="B39" s="7"/>
      <c r="C39" s="7"/>
      <c r="D39" s="7"/>
    </row>
    <row r="40" spans="1:4" ht="18" customHeight="1" x14ac:dyDescent="0.15">
      <c r="A40" s="13"/>
      <c r="B40" s="7"/>
      <c r="C40" s="7"/>
      <c r="D40" s="7"/>
    </row>
    <row r="41" spans="1:4" ht="18" customHeight="1" x14ac:dyDescent="0.15">
      <c r="A41" s="13"/>
      <c r="B41" s="7"/>
      <c r="C41" s="7"/>
      <c r="D41" s="7"/>
    </row>
    <row r="42" spans="1:4" ht="18" customHeight="1" x14ac:dyDescent="0.15">
      <c r="A42" s="13"/>
      <c r="B42" s="7"/>
      <c r="C42" s="7"/>
      <c r="D42" s="7"/>
    </row>
    <row r="43" spans="1:4" ht="18" customHeight="1" x14ac:dyDescent="0.15">
      <c r="A43" s="13"/>
      <c r="B43" s="7"/>
      <c r="C43" s="7"/>
      <c r="D43" s="7"/>
    </row>
    <row r="44" spans="1:4" ht="18" customHeight="1" x14ac:dyDescent="0.15">
      <c r="A44" s="13"/>
      <c r="B44" s="7"/>
      <c r="C44" s="7"/>
      <c r="D44" s="7"/>
    </row>
    <row r="45" spans="1:4" ht="18" customHeight="1" x14ac:dyDescent="0.15">
      <c r="A45" s="13"/>
      <c r="B45" s="7"/>
      <c r="C45" s="7"/>
      <c r="D45" s="7"/>
    </row>
    <row r="46" spans="1:4" ht="18" customHeight="1" x14ac:dyDescent="0.15">
      <c r="A46" s="13"/>
      <c r="B46" s="7"/>
      <c r="C46" s="7"/>
      <c r="D46" s="7"/>
    </row>
    <row r="47" spans="1:4" ht="18" customHeight="1" x14ac:dyDescent="0.15">
      <c r="A47" s="13"/>
      <c r="B47" s="7"/>
      <c r="C47" s="7"/>
      <c r="D47" s="7"/>
    </row>
    <row r="48" spans="1:4" ht="18" customHeight="1" x14ac:dyDescent="0.15">
      <c r="A48" s="13"/>
      <c r="B48" s="7"/>
      <c r="C48" s="7"/>
      <c r="D48" s="7"/>
    </row>
    <row r="49" spans="1:7" ht="18" customHeight="1" x14ac:dyDescent="0.15">
      <c r="A49" s="13"/>
      <c r="B49" s="7"/>
      <c r="C49" s="7"/>
      <c r="D49" s="7"/>
    </row>
    <row r="50" spans="1:7" ht="18" customHeight="1" x14ac:dyDescent="0.15">
      <c r="A50" s="13"/>
      <c r="B50" s="7"/>
      <c r="C50" s="7"/>
      <c r="D50" s="7"/>
    </row>
    <row r="51" spans="1:7" ht="18" customHeight="1" x14ac:dyDescent="0.15">
      <c r="A51" s="13"/>
      <c r="B51" s="7"/>
      <c r="C51" s="7"/>
      <c r="D51" s="7"/>
    </row>
    <row r="52" spans="1:7" ht="18" customHeight="1" x14ac:dyDescent="0.15">
      <c r="A52" s="13"/>
      <c r="B52" s="7"/>
      <c r="C52" s="7"/>
      <c r="D52" s="7"/>
      <c r="E52" s="5"/>
      <c r="F52" s="5"/>
      <c r="G52" s="5"/>
    </row>
    <row r="53" spans="1:7" ht="18" customHeight="1" x14ac:dyDescent="0.15">
      <c r="A53" s="13"/>
      <c r="B53" s="7"/>
      <c r="C53" s="7"/>
      <c r="D53" s="7"/>
      <c r="E53" s="5"/>
      <c r="F53" s="5"/>
      <c r="G53" s="5"/>
    </row>
    <row r="54" spans="1:7" ht="15" customHeight="1" x14ac:dyDescent="0.15">
      <c r="A54" s="13"/>
      <c r="B54" s="7"/>
      <c r="C54" s="7"/>
      <c r="D54" s="7"/>
      <c r="E54" s="5"/>
      <c r="F54" s="5"/>
      <c r="G54" s="5"/>
    </row>
    <row r="55" spans="1:7" ht="15" customHeight="1" x14ac:dyDescent="0.15">
      <c r="A55" s="13"/>
      <c r="B55" s="7"/>
      <c r="C55" s="7"/>
      <c r="D55" s="7"/>
      <c r="E55" s="5"/>
      <c r="F55" s="5"/>
      <c r="G55" s="5"/>
    </row>
    <row r="56" spans="1:7" ht="15" customHeight="1" x14ac:dyDescent="0.15">
      <c r="A56" s="13"/>
      <c r="B56" s="5"/>
      <c r="C56" s="5"/>
      <c r="D56" s="5"/>
      <c r="E56" s="5"/>
      <c r="F56" s="5"/>
      <c r="G56" s="5"/>
    </row>
    <row r="57" spans="1:7" ht="15" customHeight="1" x14ac:dyDescent="0.15">
      <c r="A57" s="13"/>
      <c r="B57" s="5"/>
      <c r="C57" s="5"/>
      <c r="D57" s="5"/>
      <c r="E57" s="5"/>
      <c r="F57" s="5"/>
      <c r="G57" s="5"/>
    </row>
    <row r="58" spans="1:7" ht="15" customHeight="1" x14ac:dyDescent="0.15">
      <c r="A58" s="13"/>
      <c r="B58" s="5"/>
      <c r="C58" s="5"/>
      <c r="D58" s="5"/>
      <c r="E58" s="5"/>
      <c r="F58" s="5"/>
      <c r="G58" s="5"/>
    </row>
    <row r="59" spans="1:7" ht="15" customHeight="1" x14ac:dyDescent="0.15">
      <c r="A59" s="13"/>
      <c r="B59" s="5"/>
      <c r="C59" s="5"/>
      <c r="D59" s="5"/>
      <c r="E59" s="5"/>
      <c r="F59" s="5"/>
      <c r="G59" s="5"/>
    </row>
    <row r="60" spans="1:7" ht="15" customHeight="1" x14ac:dyDescent="0.15">
      <c r="A60" s="13"/>
      <c r="B60" s="5"/>
      <c r="C60" s="5"/>
      <c r="D60" s="5"/>
      <c r="E60" s="5"/>
      <c r="F60" s="5"/>
      <c r="G60" s="5"/>
    </row>
    <row r="61" spans="1:7" ht="15" customHeight="1" x14ac:dyDescent="0.15">
      <c r="A61" s="13"/>
    </row>
    <row r="62" spans="1:7" ht="15" customHeight="1" x14ac:dyDescent="0.15">
      <c r="A62" s="13"/>
    </row>
    <row r="63" spans="1:7" ht="15" customHeight="1" x14ac:dyDescent="0.15">
      <c r="A63" s="13"/>
    </row>
    <row r="64" spans="1:7" ht="15" customHeight="1" x14ac:dyDescent="0.15">
      <c r="A64" s="13"/>
    </row>
    <row r="65" spans="1:1" ht="15" customHeight="1" x14ac:dyDescent="0.15">
      <c r="A65" s="13"/>
    </row>
    <row r="66" spans="1:1" ht="15" customHeight="1" x14ac:dyDescent="0.15">
      <c r="A66" s="13"/>
    </row>
    <row r="67" spans="1:1" ht="15" customHeight="1" x14ac:dyDescent="0.15">
      <c r="A67" s="13"/>
    </row>
    <row r="68" spans="1:1" ht="15" customHeight="1" x14ac:dyDescent="0.15">
      <c r="A68" s="13"/>
    </row>
    <row r="69" spans="1:1" ht="15" customHeight="1" x14ac:dyDescent="0.15">
      <c r="A69" s="13"/>
    </row>
    <row r="70" spans="1:1" ht="15" customHeight="1" x14ac:dyDescent="0.15">
      <c r="A70" s="13"/>
    </row>
    <row r="71" spans="1:1" ht="15" customHeight="1" x14ac:dyDescent="0.15">
      <c r="A71" s="13"/>
    </row>
    <row r="72" spans="1:1" ht="15" customHeight="1" x14ac:dyDescent="0.15">
      <c r="A72" s="13"/>
    </row>
    <row r="73" spans="1:1" ht="15" customHeight="1" x14ac:dyDescent="0.15">
      <c r="A73" s="13"/>
    </row>
    <row r="74" spans="1:1" ht="15" customHeight="1" x14ac:dyDescent="0.15">
      <c r="A74" s="13"/>
    </row>
    <row r="75" spans="1:1" ht="15" customHeight="1" x14ac:dyDescent="0.15">
      <c r="A75" s="13"/>
    </row>
    <row r="76" spans="1:1" ht="15" customHeight="1" x14ac:dyDescent="0.15">
      <c r="A76" s="13"/>
    </row>
    <row r="77" spans="1:1" ht="15" customHeight="1" x14ac:dyDescent="0.15">
      <c r="A77" s="13"/>
    </row>
    <row r="78" spans="1:1" ht="15" customHeight="1" x14ac:dyDescent="0.15">
      <c r="A78" s="13"/>
    </row>
    <row r="79" spans="1:1" ht="15" customHeight="1" x14ac:dyDescent="0.15">
      <c r="A79" s="13"/>
    </row>
    <row r="80" spans="1:1" ht="15" customHeight="1" x14ac:dyDescent="0.15">
      <c r="A80" s="13"/>
    </row>
    <row r="81" spans="1:1" ht="15" customHeight="1" x14ac:dyDescent="0.15">
      <c r="A81" s="13"/>
    </row>
    <row r="82" spans="1:1" ht="15" customHeight="1" x14ac:dyDescent="0.15">
      <c r="A82" s="13"/>
    </row>
    <row r="83" spans="1:1" ht="15" customHeight="1" x14ac:dyDescent="0.15">
      <c r="A83" s="13"/>
    </row>
    <row r="84" spans="1:1" ht="15" customHeight="1" x14ac:dyDescent="0.15">
      <c r="A84" s="13"/>
    </row>
    <row r="85" spans="1:1" ht="15" customHeight="1" x14ac:dyDescent="0.15">
      <c r="A85" s="13"/>
    </row>
    <row r="86" spans="1:1" ht="15" customHeight="1" x14ac:dyDescent="0.15">
      <c r="A86" s="13"/>
    </row>
    <row r="87" spans="1:1" ht="15" customHeight="1" x14ac:dyDescent="0.15">
      <c r="A87" s="13"/>
    </row>
    <row r="88" spans="1:1" ht="15" customHeight="1" x14ac:dyDescent="0.15">
      <c r="A88" s="13"/>
    </row>
    <row r="89" spans="1:1" ht="15" customHeight="1" x14ac:dyDescent="0.15">
      <c r="A89" s="13"/>
    </row>
    <row r="90" spans="1:1" ht="15" customHeight="1" x14ac:dyDescent="0.15">
      <c r="A90" s="13"/>
    </row>
    <row r="91" spans="1:1" ht="15" customHeight="1" x14ac:dyDescent="0.15">
      <c r="A91" s="13"/>
    </row>
    <row r="92" spans="1:1" ht="15" customHeight="1" x14ac:dyDescent="0.15">
      <c r="A92" s="13"/>
    </row>
    <row r="93" spans="1:1" ht="15" customHeight="1" x14ac:dyDescent="0.15">
      <c r="A93" s="13"/>
    </row>
    <row r="94" spans="1:1" ht="15" customHeight="1" x14ac:dyDescent="0.15">
      <c r="A94" s="13"/>
    </row>
    <row r="95" spans="1:1" ht="15" customHeight="1" x14ac:dyDescent="0.15">
      <c r="A95" s="13"/>
    </row>
    <row r="96" spans="1:1" ht="15" customHeight="1" x14ac:dyDescent="0.15">
      <c r="A96" s="13"/>
    </row>
    <row r="97" spans="1:1" ht="15" customHeight="1" x14ac:dyDescent="0.15">
      <c r="A97" s="13"/>
    </row>
    <row r="98" spans="1:1" ht="15" customHeight="1" x14ac:dyDescent="0.15">
      <c r="A98" s="13"/>
    </row>
    <row r="99" spans="1:1" ht="15" customHeight="1" x14ac:dyDescent="0.15">
      <c r="A99" s="13"/>
    </row>
    <row r="100" spans="1:1" ht="15" customHeight="1" x14ac:dyDescent="0.15">
      <c r="A100" s="13"/>
    </row>
  </sheetData>
  <mergeCells count="3">
    <mergeCell ref="I2:J2"/>
    <mergeCell ref="C2:F2"/>
    <mergeCell ref="A2:A100"/>
  </mergeCells>
  <phoneticPr fontId="1" type="noConversion"/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生成代码">
                <anchor moveWithCells="1" sizeWithCells="1">
                  <from>
                    <xdr:col>6</xdr:col>
                    <xdr:colOff>66675</xdr:colOff>
                    <xdr:row>0</xdr:row>
                    <xdr:rowOff>161925</xdr:rowOff>
                  </from>
                  <to>
                    <xdr:col>7</xdr:col>
                    <xdr:colOff>276225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>
      <selection activeCell="C12" sqref="C12"/>
    </sheetView>
  </sheetViews>
  <sheetFormatPr defaultRowHeight="13.5" x14ac:dyDescent="0.15"/>
  <cols>
    <col min="1" max="1" width="13.5" customWidth="1"/>
    <col min="2" max="2" width="20.25" customWidth="1"/>
    <col min="3" max="3" width="13.75" customWidth="1"/>
  </cols>
  <sheetData>
    <row r="1" spans="1:3" ht="30.75" customHeight="1" x14ac:dyDescent="0.15">
      <c r="A1" s="14" t="s">
        <v>81</v>
      </c>
      <c r="B1" s="14"/>
    </row>
    <row r="2" spans="1:3" ht="18.75" customHeight="1" x14ac:dyDescent="0.15">
      <c r="A2" s="14" t="s">
        <v>75</v>
      </c>
      <c r="B2" s="16" t="s">
        <v>69</v>
      </c>
    </row>
    <row r="3" spans="1:3" ht="18.75" customHeight="1" x14ac:dyDescent="0.15">
      <c r="A3" s="14"/>
      <c r="B3" s="16" t="s">
        <v>70</v>
      </c>
    </row>
    <row r="4" spans="1:3" ht="18.75" customHeight="1" x14ac:dyDescent="0.15">
      <c r="A4" s="14" t="s">
        <v>76</v>
      </c>
      <c r="B4" s="16" t="s">
        <v>71</v>
      </c>
    </row>
    <row r="5" spans="1:3" ht="18.75" customHeight="1" x14ac:dyDescent="0.15">
      <c r="A5" s="14"/>
      <c r="B5" s="16" t="s">
        <v>72</v>
      </c>
    </row>
    <row r="6" spans="1:3" ht="18.75" customHeight="1" x14ac:dyDescent="0.15">
      <c r="A6" s="14" t="s">
        <v>77</v>
      </c>
      <c r="B6" s="16" t="s">
        <v>73</v>
      </c>
    </row>
    <row r="7" spans="1:3" ht="18.75" customHeight="1" x14ac:dyDescent="0.15">
      <c r="A7" s="14"/>
      <c r="B7" s="16" t="s">
        <v>74</v>
      </c>
    </row>
    <row r="8" spans="1:3" ht="18.75" customHeight="1" x14ac:dyDescent="0.15">
      <c r="A8" s="14" t="s">
        <v>78</v>
      </c>
      <c r="B8" s="15" t="s">
        <v>79</v>
      </c>
    </row>
    <row r="9" spans="1:3" ht="18.75" customHeight="1" x14ac:dyDescent="0.15">
      <c r="A9" s="14"/>
      <c r="B9" s="15" t="s">
        <v>80</v>
      </c>
      <c r="C9" s="16"/>
    </row>
    <row r="10" spans="1:3" ht="18.75" customHeight="1" x14ac:dyDescent="0.15">
      <c r="A10" s="14"/>
      <c r="B10" s="16" t="s">
        <v>90</v>
      </c>
      <c r="C10" s="16"/>
    </row>
  </sheetData>
  <mergeCells count="5">
    <mergeCell ref="A2:A3"/>
    <mergeCell ref="A4:A5"/>
    <mergeCell ref="A6:A7"/>
    <mergeCell ref="A1:B1"/>
    <mergeCell ref="A8:A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China</cp:lastModifiedBy>
  <dcterms:created xsi:type="dcterms:W3CDTF">2006-09-16T00:00:00Z</dcterms:created>
  <dcterms:modified xsi:type="dcterms:W3CDTF">2018-01-02T17:02:31Z</dcterms:modified>
</cp:coreProperties>
</file>