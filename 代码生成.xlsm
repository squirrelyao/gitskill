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N34" i="1" l="1"/>
  <c r="O34" i="1"/>
  <c r="N33" i="1"/>
  <c r="O33" i="1"/>
  <c r="N32" i="1"/>
  <c r="O32" i="1"/>
  <c r="N31" i="1"/>
  <c r="O31" i="1"/>
  <c r="N30" i="1" l="1"/>
  <c r="O30" i="1"/>
  <c r="N29" i="1" l="1"/>
  <c r="O29" i="1"/>
  <c r="O27" i="1"/>
  <c r="O28" i="1"/>
  <c r="N27" i="1"/>
  <c r="N28" i="1"/>
  <c r="N26" i="1"/>
  <c r="O26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J6" i="1" l="1"/>
  <c r="O4" i="1"/>
  <c r="O3" i="1"/>
  <c r="N4" i="1"/>
  <c r="N3" i="1"/>
  <c r="J7" i="1"/>
</calcChain>
</file>

<file path=xl/sharedStrings.xml><?xml version="1.0" encoding="utf-8"?>
<sst xmlns="http://schemas.openxmlformats.org/spreadsheetml/2006/main" count="290" uniqueCount="145">
  <si>
    <t>代码生成器</t>
    <phoneticPr fontId="1" type="noConversion"/>
  </si>
  <si>
    <t>约束</t>
    <phoneticPr fontId="1" type="noConversion"/>
  </si>
  <si>
    <t>contract_addr</t>
  </si>
  <si>
    <t>rebate</t>
  </si>
  <si>
    <t>primary key</t>
    <phoneticPr fontId="1" type="noConversion"/>
  </si>
  <si>
    <t>&lt;?xml version="1.0" encoding="UTF-8" ?&gt;  
&lt;!DOCTYPE mapper PUBLIC "-//ibatis.apache.org//DTD Mapper 3.0//EN"      
 "http://ibatis.apache.org/dtd/ibatis-3-mapper.dtd"&gt;</t>
    <phoneticPr fontId="1" type="noConversion"/>
  </si>
  <si>
    <t>tables</t>
    <phoneticPr fontId="1" type="noConversion"/>
  </si>
  <si>
    <t>工具区</t>
    <phoneticPr fontId="1" type="noConversion"/>
  </si>
  <si>
    <t>dtd</t>
    <phoneticPr fontId="1" type="noConversion"/>
  </si>
  <si>
    <t xml:space="preserve">    &lt;/foreach&gt;</t>
    <phoneticPr fontId="1" type="noConversion"/>
  </si>
  <si>
    <t>foreach_head</t>
    <phoneticPr fontId="1" type="noConversion"/>
  </si>
  <si>
    <t>foreach_end</t>
    <phoneticPr fontId="1" type="noConversion"/>
  </si>
  <si>
    <t>insert_head</t>
    <phoneticPr fontId="1" type="noConversion"/>
  </si>
  <si>
    <t>insert_end</t>
    <phoneticPr fontId="1" type="noConversion"/>
  </si>
  <si>
    <t>insert_msg</t>
    <phoneticPr fontId="1" type="noConversion"/>
  </si>
  <si>
    <t>delete_head</t>
    <phoneticPr fontId="1" type="noConversion"/>
  </si>
  <si>
    <t>delete_end</t>
    <phoneticPr fontId="1" type="noConversion"/>
  </si>
  <si>
    <t>delete_msg</t>
    <phoneticPr fontId="1" type="noConversion"/>
  </si>
  <si>
    <t>update_head</t>
    <phoneticPr fontId="1" type="noConversion"/>
  </si>
  <si>
    <t>update_end</t>
    <phoneticPr fontId="1" type="noConversion"/>
  </si>
  <si>
    <t>update_msg</t>
    <phoneticPr fontId="1" type="noConversion"/>
  </si>
  <si>
    <t xml:space="preserve">    &lt;/insert&gt;</t>
    <phoneticPr fontId="1" type="noConversion"/>
  </si>
  <si>
    <t xml:space="preserve">    insert into tableName values(messages)</t>
    <phoneticPr fontId="1" type="noConversion"/>
  </si>
  <si>
    <t xml:space="preserve">    &lt;delete id="name" parameterType="int"&gt;</t>
    <phoneticPr fontId="1" type="noConversion"/>
  </si>
  <si>
    <t xml:space="preserve">    &lt;/delete&gt;</t>
    <phoneticPr fontId="1" type="noConversion"/>
  </si>
  <si>
    <t xml:space="preserve">    &lt;/update&gt;</t>
    <phoneticPr fontId="1" type="noConversion"/>
  </si>
  <si>
    <t>namespace</t>
    <phoneticPr fontId="1" type="noConversion"/>
  </si>
  <si>
    <t>pakge</t>
    <phoneticPr fontId="1" type="noConversion"/>
  </si>
  <si>
    <t xml:space="preserve"> Variant</t>
    <phoneticPr fontId="1" type="noConversion"/>
  </si>
  <si>
    <t xml:space="preserve">public </t>
    <phoneticPr fontId="1" type="noConversion"/>
  </si>
  <si>
    <t xml:space="preserve"> As</t>
    <phoneticPr fontId="1" type="noConversion"/>
  </si>
  <si>
    <t>case "</t>
    <phoneticPr fontId="1" type="noConversion"/>
  </si>
  <si>
    <t>=temp</t>
    <phoneticPr fontId="1" type="noConversion"/>
  </si>
  <si>
    <t xml:space="preserve">"    </t>
    <phoneticPr fontId="1" type="noConversion"/>
  </si>
  <si>
    <t>select_head</t>
    <phoneticPr fontId="1" type="noConversion"/>
  </si>
  <si>
    <t>select_end</t>
    <phoneticPr fontId="1" type="noConversion"/>
  </si>
  <si>
    <t>select_msg</t>
    <phoneticPr fontId="1" type="noConversion"/>
  </si>
  <si>
    <t xml:space="preserve">    &lt;update id="name" parameterType="entity"&gt;</t>
    <phoneticPr fontId="1" type="noConversion"/>
  </si>
  <si>
    <t>if_head</t>
    <phoneticPr fontId="1" type="noConversion"/>
  </si>
  <si>
    <t>if_end</t>
    <phoneticPr fontId="1" type="noConversion"/>
  </si>
  <si>
    <t>sql_head</t>
    <phoneticPr fontId="1" type="noConversion"/>
  </si>
  <si>
    <t>sql_end</t>
    <phoneticPr fontId="1" type="noConversion"/>
  </si>
  <si>
    <t xml:space="preserve">    &lt;/select&gt;</t>
    <phoneticPr fontId="1" type="noConversion"/>
  </si>
  <si>
    <t xml:space="preserve">    &lt;/if&gt;</t>
    <phoneticPr fontId="1" type="noConversion"/>
  </si>
  <si>
    <t xml:space="preserve">    &lt;sql id="sqlid"&gt;</t>
    <phoneticPr fontId="1" type="noConversion"/>
  </si>
  <si>
    <t xml:space="preserve">&lt;mapper namespace="dao.AAA" &gt; </t>
    <phoneticPr fontId="1" type="noConversion"/>
  </si>
  <si>
    <t>entity</t>
    <phoneticPr fontId="1" type="noConversion"/>
  </si>
  <si>
    <t xml:space="preserve">    &lt;insert id="name" parameterType="entity"&gt;</t>
    <phoneticPr fontId="1" type="noConversion"/>
  </si>
  <si>
    <t xml:space="preserve">    delete from tableName where id=#{id}</t>
    <phoneticPr fontId="1" type="noConversion"/>
  </si>
  <si>
    <t>namespace_end</t>
    <phoneticPr fontId="1" type="noConversion"/>
  </si>
  <si>
    <t xml:space="preserve">&lt;/mapper&gt; </t>
    <phoneticPr fontId="1" type="noConversion"/>
  </si>
  <si>
    <t>单加</t>
    <phoneticPr fontId="1" type="noConversion"/>
  </si>
  <si>
    <t>群加</t>
    <phoneticPr fontId="1" type="noConversion"/>
  </si>
  <si>
    <t>单删</t>
    <phoneticPr fontId="1" type="noConversion"/>
  </si>
  <si>
    <t>群删</t>
    <phoneticPr fontId="1" type="noConversion"/>
  </si>
  <si>
    <t>单改</t>
    <phoneticPr fontId="1" type="noConversion"/>
  </si>
  <si>
    <t>群改</t>
    <phoneticPr fontId="1" type="noConversion"/>
  </si>
  <si>
    <t>增</t>
    <phoneticPr fontId="1" type="noConversion"/>
  </si>
  <si>
    <t>删</t>
    <phoneticPr fontId="1" type="noConversion"/>
  </si>
  <si>
    <t>改</t>
    <phoneticPr fontId="1" type="noConversion"/>
  </si>
  <si>
    <t>查</t>
    <phoneticPr fontId="1" type="noConversion"/>
  </si>
  <si>
    <t>id单查</t>
    <phoneticPr fontId="1" type="noConversion"/>
  </si>
  <si>
    <t>自由条件分页全查</t>
    <phoneticPr fontId="1" type="noConversion"/>
  </si>
  <si>
    <t xml:space="preserve">    update tableName set message where id=#{id}</t>
    <phoneticPr fontId="1" type="noConversion"/>
  </si>
  <si>
    <t xml:space="preserve">    &lt;foreach collection="list" item="item" index="index" open="openo" separator="separators" close="closec" &gt;  </t>
    <phoneticPr fontId="1" type="noConversion"/>
  </si>
  <si>
    <t>set_full</t>
    <phoneticPr fontId="1" type="noConversion"/>
  </si>
  <si>
    <t xml:space="preserve">    &lt;/sql&gt;</t>
    <phoneticPr fontId="1" type="noConversion"/>
  </si>
  <si>
    <t xml:space="preserve">    &lt;set&gt; message &lt;/set&gt;</t>
    <phoneticPr fontId="1" type="noConversion"/>
  </si>
  <si>
    <t xml:space="preserve">    select * from table where id=#{id}</t>
    <phoneticPr fontId="1" type="noConversion"/>
  </si>
  <si>
    <t>符合条件数据总数</t>
    <phoneticPr fontId="1" type="noConversion"/>
  </si>
  <si>
    <t xml:space="preserve">    &lt;if test= " para !=null and  para!='' " &gt;</t>
    <phoneticPr fontId="1" type="noConversion"/>
  </si>
  <si>
    <t>cdata_a</t>
    <phoneticPr fontId="1" type="noConversion"/>
  </si>
  <si>
    <t>like_full</t>
    <phoneticPr fontId="1" type="noConversion"/>
  </si>
  <si>
    <t>include_full</t>
    <phoneticPr fontId="1" type="noConversion"/>
  </si>
  <si>
    <t xml:space="preserve">    &lt;select id="selectid" parameterType="paratype" resultType="entity_result"&gt;</t>
    <phoneticPr fontId="1" type="noConversion"/>
  </si>
  <si>
    <t xml:space="preserve">    &lt;include refid="include_id"/&gt;</t>
    <phoneticPr fontId="1" type="noConversion"/>
  </si>
  <si>
    <t xml:space="preserve">    and para like concat('%',#{para},'%')</t>
    <phoneticPr fontId="1" type="noConversion"/>
  </si>
  <si>
    <t xml:space="preserve">    &lt;![CDATA[and para &gt;=]]&gt;#{para}</t>
    <phoneticPr fontId="1" type="noConversion"/>
  </si>
  <si>
    <t xml:space="preserve">    &lt;![CDATA[and para &lt;=]]&gt;#{para}</t>
    <phoneticPr fontId="1" type="noConversion"/>
  </si>
  <si>
    <t>cdata_b</t>
    <phoneticPr fontId="1" type="noConversion"/>
  </si>
  <si>
    <t>xml</t>
    <phoneticPr fontId="1" type="noConversion"/>
  </si>
  <si>
    <t>DAO</t>
    <phoneticPr fontId="1" type="noConversion"/>
  </si>
  <si>
    <t>package dao.pakge;
import java.util.List;
import org.springframework.stereotype.Repository;
import entity.ADO.QueryEntity_name;
import entity.pakge.Entity_name;
@Repository
public interface Entity_nameDAO {
 //增
 public int addEntity_name(Entity_name entity_name);
 public int addEntity_names(List&lt;Entity_name&gt; list);
 //删
 public int delEntity_name(Integer id);
 public int delEntity_names(List&lt;Integer&gt; list);
 //改
 public int updateEntity_name(Entity_name entity_name);
 public int updateEntity_names(List&lt;Entity_name&gt; List);
 //查
 public Entity_name findEntity_nameById(Integer id);
 public List&lt;Entity_name&gt; findEntity_nameByPage(QueryEntity_name queryEntity_name);
 public int countEntity_nameByPage(QueryEntity_name queryEntity_name);
}</t>
    <phoneticPr fontId="1" type="noConversion"/>
  </si>
  <si>
    <t>date_formate</t>
    <phoneticPr fontId="1" type="noConversion"/>
  </si>
  <si>
    <t>class_entity</t>
    <phoneticPr fontId="1" type="noConversion"/>
  </si>
  <si>
    <t>date_msg</t>
    <phoneticPr fontId="1" type="noConversion"/>
  </si>
  <si>
    <t>package entity.pakge;
date_msg
import java.io.Serializable;
public class entity_name implements Serializable{</t>
    <phoneticPr fontId="1" type="noConversion"/>
  </si>
  <si>
    <t>import java.util.Date;
import org.springframework.format.annotation.DateTimeFormat;</t>
    <phoneticPr fontId="1" type="noConversion"/>
  </si>
  <si>
    <t xml:space="preserve">    @DateTimeFormat(pattern="yyyy-MM-dd")</t>
    <phoneticPr fontId="1" type="noConversion"/>
  </si>
  <si>
    <t>entity</t>
    <phoneticPr fontId="1" type="noConversion"/>
  </si>
  <si>
    <t>ADO</t>
    <phoneticPr fontId="1" type="noConversion"/>
  </si>
  <si>
    <t>实体名(*)</t>
    <phoneticPr fontId="1" type="noConversion"/>
  </si>
  <si>
    <t>包名(*)</t>
    <phoneticPr fontId="1" type="noConversion"/>
  </si>
  <si>
    <t>其他</t>
    <phoneticPr fontId="1" type="noConversion"/>
  </si>
  <si>
    <t>列名（*）</t>
    <phoneticPr fontId="1" type="noConversion"/>
  </si>
  <si>
    <t>类型（*）</t>
    <phoneticPr fontId="1" type="noConversion"/>
  </si>
  <si>
    <t xml:space="preserve">SELECT  
  COLUMN_NAME 列名,
  DATA_TYPE 字段类型,    
  COLUMN_TYPE 数据类型,  
  CHARACTER_MAXIMUM_LENGTH 长度,  
  IS_NULLABLE 是否为空,  
  COLUMN_DEFAULT 默认值,  
  COLUMN_COMMENT 备注   
FROM  
 INFORMATION_SCHEMA.COLUMNS  
where  
-- fhwj为数据库名称，到时候只需要修改成你要导出表结构的数据库即可  
table_schema ='fhwj'  
AND  
-- income_table为表名，到时候换成你要导出的表的名称  
-- 如果不写的话，默认会查询出所有表中的数据，这样可能就分不清到底哪些字段是哪张表中的了，所以还是建议写上要导出的表名称  
table_name  = 'income_table'  </t>
    <phoneticPr fontId="1" type="noConversion"/>
  </si>
  <si>
    <t>如何导出数据库表结构数据</t>
    <phoneticPr fontId="1" type="noConversion"/>
  </si>
  <si>
    <t>id</t>
  </si>
  <si>
    <t>int</t>
  </si>
  <si>
    <t>int(11)</t>
  </si>
  <si>
    <t>NO</t>
  </si>
  <si>
    <t>contract_number</t>
  </si>
  <si>
    <t>varchar</t>
  </si>
  <si>
    <t>varchar(20)</t>
  </si>
  <si>
    <t>YES</t>
  </si>
  <si>
    <t>contract_date</t>
  </si>
  <si>
    <t>date</t>
  </si>
  <si>
    <t>varchar(100)</t>
  </si>
  <si>
    <t>contract_area</t>
  </si>
  <si>
    <t>double</t>
  </si>
  <si>
    <t>contract_type</t>
  </si>
  <si>
    <t>varchar(15)</t>
  </si>
  <si>
    <t>contract_starttime</t>
  </si>
  <si>
    <t>contract_endtime</t>
  </si>
  <si>
    <t>limit_time</t>
  </si>
  <si>
    <t>customer_name</t>
  </si>
  <si>
    <t>customer_phone</t>
  </si>
  <si>
    <t>designer</t>
  </si>
  <si>
    <t>custodian</t>
  </si>
  <si>
    <t>servicer</t>
  </si>
  <si>
    <t>service_time</t>
  </si>
  <si>
    <t>contract_price</t>
  </si>
  <si>
    <t>contract_total_price</t>
  </si>
  <si>
    <t>management_cost</t>
  </si>
  <si>
    <t>repay</t>
  </si>
  <si>
    <t>first_pay</t>
  </si>
  <si>
    <t>second_pay</t>
  </si>
  <si>
    <t>third_pay</t>
  </si>
  <si>
    <t>last_pay</t>
  </si>
  <si>
    <t>buliding_mterials_second</t>
  </si>
  <si>
    <t>buliding_mterials_third</t>
  </si>
  <si>
    <t>total_pay</t>
  </si>
  <si>
    <t>profit</t>
  </si>
  <si>
    <t>status</t>
  </si>
  <si>
    <t>form_maker</t>
  </si>
  <si>
    <t>last_modify</t>
  </si>
  <si>
    <t>contract_number</t>
    <phoneticPr fontId="1" type="noConversion"/>
  </si>
  <si>
    <t>Contract</t>
    <phoneticPr fontId="1" type="noConversion"/>
  </si>
  <si>
    <t>使用说明：
注意：1.不要更改表单结构
   2.不要在U列之前删除或者添加新列（A-T列不要动）
星号项目为必填项目。
 实体名：java的实体类名
 包名：实体类所在包名
 列名：数据库列名
 类型：该列数据类型
*列名与类型获得方法见第二页
生成器可以生成4个文件
mapper，DAO，entity，ADO(辅助查询类)
使用时，数据填写好后，先按“生成代码”，
然后按“生成文件”，会在当前文件夹生成相应文件
mapper，DAO文件 生成后可以直接使用
entity，ADO文件 还需要自己生成 序列号，
get，set方法及toString 方法</t>
    <phoneticPr fontId="1" type="noConversion"/>
  </si>
  <si>
    <t>DAO/mapper 结构</t>
    <phoneticPr fontId="1" type="noConversion"/>
  </si>
  <si>
    <t xml:space="preserve">&lt;?xml version="1.0" encoding="UTF-8" ?&gt;  
&lt;!DOCTYPE mapper PUBLIC "-//ibatis.apache.org//DTD Mapper 3.0//EN"      
 "http://ibatis.apache.org/dtd/ibatis-3-mapper.dtd"&gt;_x000D_
&lt;mapper namespace="dao.tables.ContractDAO" &gt; _x000D_
    &lt;insert id="addContract" parameterType="entity.tables.Contract"&gt;_x000D_
    &lt;/insert&gt;_x000D_
    &lt;insert id="addContracts" parameterType="List"&gt;_x000D_
            insert into Contract_table values_x000D_
    &lt;foreach collection="list" item="item" index="index" open="" separator="," close="" &gt;  _x000D_
(_x000D_
#{item.id}_x000D_
,#{item.contract_number}_x000D_
,#{item.contract_date}_x000D_
,#{item.contract_addr}_x000D_
,#{item.contract_area}_x000D_
,#{item.contract_type}_x000D_
,#{item.contract_starttime}_x000D_
,#{item.contract_endtime}_x000D_
,#{item.limit_time}_x000D_
,#{item.customer_name}_x000D_
,#{item.customer_phone}_x000D_
,#{item.designer}_x000D_
,#{item.custodian}_x000D_
,#{item.servicer}_x000D_
,#{item.service_time}_x000D_
,#{item.contract_price}_x000D_
,#{item.contract_total_price}_x000D_
,#{item.management_cost}_x000D_
,#{item.rebate}_x000D_
,#{item.repay}_x000D_
,#{item.first_pay}_x000D_
,#{item.second_pay}_x000D_
,#{item.third_pay}_x000D_
,#{item.last_pay}_x000D_
,#{item.buliding_mterials_second}_x000D_
,#{item.buliding_mterials_third}_x000D_
,#{item.total_pay}_x000D_
,#{item.profit}_x000D_
,#{item.status}_x000D_
,#{item.form_maker}_x000D_
,#{item.last_modify}_x000D_
)_x000D_
    &lt;/foreach&gt;_x000D_
    &lt;/insert&gt;_x000D_
_x000D_
    &lt;delete id="delContract" parameterType="int"&gt;_x000D_
    delete from Contract_table where id=#{id}_x000D_
    &lt;/delete&gt;_x000D_
_x000D_
    &lt;delete id="delContracts" parameterType="List"&gt;_x000D_
    delete from Contract_table where id in_x000D_
    &lt;foreach collection="list" item="item" index="index" open="(" separator="," close=")" &gt;  _x000D_
#{item}_x000D_
    &lt;/foreach&gt;_x000D_
_x000D_
    &lt;/delete&gt;_x000D_
_x000D_
_x000D_
    &lt;update id="updateContract" parameterType="entity.tables.Contract"&gt;_x000D_
    update Contract_table set _x000D_
contract_number=#{contract_number}_x000D_
,contract_date=#{contract_date}_x000D_
,contract_addr=#{contract_addr}_x000D_
,contract_area=#{contract_area}_x000D_
,contract_type=#{contract_type}_x000D_
,contract_starttime=#{contract_starttime}_x000D_
,contract_endtime=#{contract_endtime}_x000D_
,limit_time=#{limit_time}_x000D_
,customer_name=#{customer_name}_x000D_
,customer_phone=#{customer_phone}_x000D_
,designer=#{designer}_x000D_
,custodian=#{custodian}_x000D_
,servicer=#{servicer}_x000D_
,service_time=#{service_time}_x000D_
,contract_price=#{contract_price}_x000D_
,contract_total_price=#{contract_total_price}_x000D_
,management_cost=#{management_cost}_x000D_
,rebate=#{rebate}_x000D_
,repay=#{repay}_x000D_
,first_pay=#{first_pay}_x000D_
,second_pay=#{second_pay}_x000D_
,third_pay=#{third_pay}_x000D_
,last_pay=#{last_pay}_x000D_
,buliding_mterials_second=#{buliding_mterials_second}_x000D_
,buliding_mterials_third=#{buliding_mterials_third}_x000D_
,total_pay=#{total_pay}_x000D_
,profit=#{profit}_x000D_
,status=#{status}_x000D_
,form_maker=#{form_maker}_x000D_
,last_modify=#{last_modify}_x000D_
 where id=#{id}_x000D_
    &lt;/update&gt;_x000D_
_x000D_
    &lt;update id="updateContracts" parameterType="List"&gt;_x000D_
    &lt;foreach collection="list" item="item" index="index" open="" separator=";" close="" &gt;  _x000D_
update Contract_table_x000D_
    &lt;set&gt; _x000D_
contract_number=#{item.contract_number}_x000D_
,contract_date=#{item.contract_date}_x000D_
,contract_addr=#{item.contract_addr}_x000D_
,contract_area=#{item.contract_area}_x000D_
,contract_type=#{item.contract_type}_x000D_
,contract_starttime=#{item.contract_starttime}_x000D_
,contract_endtime=#{item.contract_endtime}_x000D_
,limit_time=#{item.limit_time}_x000D_
,customer_name=#{item.customer_name}_x000D_
,customer_phone=#{item.customer_phone}_x000D_
,designer=#{item.designer}_x000D_
,custodian=#{item.custodian}_x000D_
,servicer=#{item.servicer}_x000D_
,service_time=#{item.service_time}_x000D_
,contract_price=#{item.contract_price}_x000D_
,contract_total_price=#{item.contract_total_price}_x000D_
,management_cost=#{item.management_cost}_x000D_
,rebate=#{item.rebate}_x000D_
,repay=#{item.repay}_x000D_
,first_pay=#{item.first_pay}_x000D_
,second_pay=#{item.second_pay}_x000D_
,third_pay=#{item.third_pay}_x000D_
,last_pay=#{item.last_pay}_x000D_
,buliding_mterials_second=#{item.buliding_mterials_second}_x000D_
,buliding_mterials_third=#{item.buliding_mterials_third}_x000D_
,total_pay=#{item.total_pay}_x000D_
,profit=#{item.profit}_x000D_
,status=#{item.status}_x000D_
,form_maker=#{item.form_maker}_x000D_
,last_modify=#{item.last_modify}_x000D_
 &lt;/set&gt;_x000D_
where id=#{item.id}_x000D_
    &lt;/foreach&gt;_x000D_
    &lt;/update&gt;_x000D_
_x000D_
_x000D_
    &lt;select id="findContractById" parameterType="int" resultType="entity.tables.Contract"&gt;_x000D_
    select * from Contract_table where id=#{id}_x000D_
    &lt;/select&gt;_x000D_
    &lt;select id="findContractByPage" parameterType="entity.ADO.QueryContract" resultType="entity.tables.Contract"&gt;_x000D_
    &lt;include refid="findContract"/&gt;limit #{startrows},#{endrows}    &lt;/select&gt;_x000D_
_x000D_
    &lt;sql id="findContract"&gt;_x000D_
    select * from Contract_table where 1=1_x000D_
_x000D_
    &lt;if test= " contract_number !=null and  contract_number!='' " &gt;_x000D_
    and contract_number like concat('%',#{contract_number},'%')_x000D_
    &lt;/if&gt;_x000D_
_x000D_
    &lt;if test= " contract_date_start !=null and  contract_date_start!='' " &gt;_x000D_
    &lt;![CDATA[and contract_date_start &gt;=]]&gt;#{contract_date_start}_x000D_
    &lt;/if&gt;_x000D_
_x000D_
    &lt;if test= " contract_date_end !=null and  contract_date_end!='' " &gt;_x000D_
    &lt;![CDATA[and contract_date_end &lt;=]]&gt;#{contract_date_end}_x000D_
    &lt;/if&gt;_x000D_
_x000D_
    &lt;if test= " contract_addr !=null and  contract_addr!='' " &gt;_x000D_
    and contract_addr like concat('%',#{contract_addr},'%')_x000D_
    &lt;/if&gt;_x000D_
_x000D_
    &lt;if test= " contract_area !=null and  contract_area!='' " &gt;_x000D_
    and contract_area like concat('%',#{contract_area},'%')_x000D_
    &lt;/if&gt;_x000D_
_x000D_
    &lt;if test= " contract_type !=null and  contract_type!='' " &gt;_x000D_
    and contract_type like concat('%',#{contract_type},'%')_x000D_
    &lt;/if&gt;_x000D_
_x000D_
    &lt;if test= " contract_starttime !=null and  contract_starttime!='' " &gt;_x000D_
    and contract_starttime like concat('%',#{contract_starttime},'%')_x000D_
    &lt;/if&gt;_x000D_
_x000D_
    &lt;if test= " contract_endtime !=null and  contract_endtime!='' " &gt;_x000D_
    and contract_endtime like concat('%',#{contract_endtime},'%')_x000D_
    &lt;/if&gt;_x000D_
_x000D_
    &lt;if test= " limit_time !=null and  limit_time!='' " &gt;_x000D_
    and limit_time like concat('%',#{limit_time},'%')_x000D_
    &lt;/if&gt;_x000D_
_x000D_
    &lt;if test= " customer_name !=null and  customer_name!='' " &gt;_x000D_
    and customer_name like concat('%',#{customer_name},'%')_x000D_
    &lt;/if&gt;_x000D_
_x000D_
    &lt;if test= " customer_phone !=null and  customer_phone!='' " &gt;_x000D_
    and customer_phone like concat('%',#{customer_phone},'%')_x000D_
    &lt;/if&gt;_x000D_
_x000D_
    &lt;if test= " designer !=null and  designer!='' " &gt;_x000D_
    and designer like concat('%',#{designer},'%')_x000D_
    &lt;/if&gt;_x000D_
_x000D_
    &lt;if test= " custodian !=null and  custodian!='' " &gt;_x000D_
    and custodian like concat('%',#{custodian},'%')_x000D_
    &lt;/if&gt;_x000D_
_x000D_
    &lt;if test= " servicer !=null and  servicer!='' " &gt;_x000D_
    and servicer like concat('%',#{servicer},'%')_x000D_
    &lt;/if&gt;_x000D_
_x000D_
    &lt;if test= " service_time !=null and  service_time!='' " &gt;_x000D_
    and service_time like concat('%',#{service_time},'%')_x000D_
    &lt;/if&gt;_x000D_
_x000D_
    &lt;if test= " contract_price !=null and  contract_price!='' " &gt;_x000D_
    and contract_price like concat('%',#{contract_price},'%')_x000D_
    &lt;/if&gt;_x000D_
_x000D_
    &lt;if test= " contract_total_price !=null and  contract_total_price!='' " &gt;_x000D_
    and contract_total_price like concat('%',#{contract_total_price},'%')_x000D_
    &lt;/if&gt;_x000D_
_x000D_
    &lt;if test= " management_cost !=null and  management_cost!='' " &gt;_x000D_
    and management_cost like concat('%',#{management_cost},'%')_x000D_
    &lt;/if&gt;_x000D_
_x000D_
    &lt;if test= " rebate !=null and  rebate!='' " &gt;_x000D_
    and rebate like concat('%',#{rebate},'%')_x000D_
    &lt;/if&gt;_x000D_
_x000D_
    &lt;if test= " repay !=null and  repay!='' " &gt;_x000D_
    and repay like concat('%',#{repay},'%')_x000D_
    &lt;/if&gt;_x000D_
_x000D_
    &lt;if test= " first_pay !=null and  first_pay!='' " &gt;_x000D_
    and first_pay like concat('%',#{first_pay},'%')_x000D_
    &lt;/if&gt;_x000D_
_x000D_
    &lt;if test= " second_pay !=null and  second_pay!='' " &gt;_x000D_
    and second_pay like concat('%',#{second_pay},'%')_x000D_
    &lt;/if&gt;_x000D_
_x000D_
    &lt;if test= " third_pay !=null and  third_pay!='' " &gt;_x000D_
    and third_pay like concat('%',#{third_pay},'%')_x000D_
    &lt;/if&gt;_x000D_
_x000D_
    &lt;if test= " last_pay !=null and  last_pay!='' " &gt;_x000D_
    and last_pay like concat('%',#{last_pay},'%')_x000D_
    &lt;/if&gt;_x000D_
_x000D_
    &lt;if test= " buliding_mterials_second !=null and  buliding_mterials_second!='' " &gt;_x000D_
    and buliding_mterials_second like concat('%',#{buliding_mterials_second},'%')_x000D_
    &lt;/if&gt;_x000D_
_x000D_
    &lt;if test= " buliding_mterials_third !=null and  buliding_mterials_third!='' " &gt;_x000D_
    and buliding_mterials_third like concat('%',#{buliding_mterials_third},'%')_x000D_
    &lt;/if&gt;_x000D_
_x000D_
    &lt;if test= " total_pay !=null and  total_pay!='' " &gt;_x000D_
    and total_pay like concat('%',#{total_pay},'%')_x000D_
    &lt;/if&gt;_x000D_
_x000D_
    &lt;if test= " profit !=null and  profit!='' " &gt;_x000D_
    and profit like concat('%',#{profit},'%')_x000D_
    &lt;/if&gt;_x000D_
_x000D_
    &lt;if test= " status !=null and  status!='' " &gt;_x000D_
    and status like concat('%',#{status},'%')_x000D_
    &lt;/if&gt;_x000D_
_x000D_
    &lt;if test= " form_maker !=null and  form_maker!='' " &gt;_x000D_
    and form_maker like concat('%',#{form_maker},'%')_x000D_
    &lt;/if&gt;_x000D_
_x000D_
    &lt;if test= " last_modify !=null and  last_modify!='' " &gt;_x000D_
    and last_modify like concat('%',#{last_modify},'%')_x000D_
    &lt;/if&gt;_x000D_
    &lt;/sql&gt;_x000D_
    &lt;select id="countContractByPage" parameterType="entity.ADO.QueryContract" resultType="int"&gt;_x000D_
select count(id) from (    &lt;include refid="findContract"/&gt;) list_x000D_
    &lt;/select&gt;_x000D_
&lt;/mapper&gt; </t>
  </si>
  <si>
    <t>package dao.tables;
import java.util.List;
import org.springframework.stereotype.Repository;
import entity.ADO.QueryContract;
import entity.tables.Contract;
@Repository
public interface ContractDAO {
 //增
 public int addContract(Contract contract);
 public int addContracts(List&lt;Contract&gt; list);
 //删
 public int delContract(Integer id);
 public int delContracts(List&lt;Integer&gt; list);
 //改
 public int updateContract(Contract contract);
 public int updateContracts(List&lt;Contract&gt; List);
 //查
 public Contract findContractById(Integer id);
 public List&lt;Contract&gt; findContractByPage(QueryContract queryContract);
 public int countContractByPage(QueryContract queryContract);
}</t>
    <phoneticPr fontId="1" type="noConversion"/>
  </si>
  <si>
    <t>package entity.tables;
import java.util.Date;
import org.springframework.format.annotation.DateTimeFormat;
import java.io.Serializable;
public class Contract implements Serializable{_x000D_
     private Integer id;_x000D_
     private String contract_number;_x000D_
    @DateTimeFormat(pattern="yyyy-MM-dd")_x000D_
     private Date contract_date;_x000D_
     private String contract_addr;_x000D_
     private Double contract_area;_x000D_
     private String contract_type;_x000D_
    @DateTimeFormat(pattern="yyyy-MM-dd")_x000D_
     private Date contract_starttime;_x000D_
    @DateTimeFormat(pattern="yyyy-MM-dd")_x000D_
     private Date contract_endtime;_x000D_
     private Integer limit_time;_x000D_
     private String customer_name;_x000D_
     private String customer_phone;_x000D_
     private String designer;_x000D_
     private String custodian;_x000D_
     private String servicer;_x000D_
     private Integer service_time;_x000D_
     private Double contract_price;_x000D_
     private Double contract_total_price;_x000D_
     private Double management_cost;_x000D_
     private Double rebate;_x000D_
     private Double repay;_x000D_
     private Double first_pay;_x000D_
     private Double second_pay;_x000D_
     private Double third_pay;_x000D_
     private Double last_pay;_x000D_
     private Double buliding_mterials_second;_x000D_
     private Double buliding_mterials_third;_x000D_
     private Double total_pay;_x000D_
     private Double profit;_x000D_
     private Integer status;_x000D_
     private String form_maker;_x000D_
    @DateTimeFormat(pattern="yyyy-MM-dd")_x000D_
     private Date last_modify;_x000D_
}</t>
    <phoneticPr fontId="1" type="noConversion"/>
  </si>
  <si>
    <t>package entity.ADO;
import java.util.Date;
import org.springframework.format.annotation.DateTimeFormat;
import java.io.Serializable;
public class QueryContract implements Serializable{_x000D_
     private Integer id;_x000D_
     private String contract_number;_x000D_
    @DateTimeFormat(pattern="yyyy-MM-dd")_x000D_
     private Date contract_date_start;_x000D_
    @DateTimeFormat(pattern="yyyy-MM-dd")_x000D_
     private Date contract_date_end;_x000D_
     private String contract_addr;_x000D_
     private Double contract_area;_x000D_
     private String contract_type;_x000D_
    @DateTimeFormat(pattern="yyyy-MM-dd")_x000D_
     private Date contract_starttime_start;_x000D_
    @DateTimeFormat(pattern="yyyy-MM-dd")_x000D_
     private Date contract_starttime_end;_x000D_
    @DateTimeFormat(pattern="yyyy-MM-dd")_x000D_
     private Date contract_endtime_start;_x000D_
    @DateTimeFormat(pattern="yyyy-MM-dd")_x000D_
     private Date contract_endtime_end;_x000D_
     private Integer limit_time;_x000D_
     private String customer_name;_x000D_
     private String customer_phone;_x000D_
     private String designer;_x000D_
     private String custodian;_x000D_
     private String servicer;_x000D_
     private Integer service_time;_x000D_
     private Double contract_price;_x000D_
     private Double contract_total_price;_x000D_
     private Double management_cost;_x000D_
     private Double rebate;_x000D_
     private Double repay;_x000D_
     private Double first_pay;_x000D_
     private Double second_pay;_x000D_
     private Double third_pay;_x000D_
     private Double last_pay;_x000D_
     private Double buliding_mterials_second;_x000D_
     private Double buliding_mterials_third;_x000D_
     private Double total_pay;_x000D_
     private Double profit;_x000D_
     private Integer status;_x000D_
     private String form_maker;_x000D_
    @DateTimeFormat(pattern="yyyy-MM-dd")_x000D_
     private Date last_modify_start;_x000D_
    @DateTimeFormat(pattern="yyyy-MM-dd")_x000D_
     private Date last_modify_end;_x000D_
    private Integer startrows;_x000D_
  private Integer endrows;_x000D_
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</si>
</sst>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1" xfId="0" applyFill="1" applyBorder="1" applyAlignment="1">
      <alignment wrapText="1"/>
    </xf>
    <xf numFmtId="0" fontId="0" fillId="3" borderId="0" xfId="0" applyFill="1" applyAlignment="1">
      <alignment vertical="top" wrapText="1"/>
    </xf>
    <xf numFmtId="0" fontId="0" fillId="5" borderId="1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2" xfId="0" quotePrefix="1" applyFill="1" applyBorder="1"/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0" xfId="0" applyFill="1" applyAlignment="1">
      <alignment vertical="top" wrapText="1"/>
    </xf>
    <xf numFmtId="0" fontId="0" fillId="7" borderId="1" xfId="0" applyFill="1" applyBorder="1"/>
    <xf numFmtId="0" fontId="0" fillId="3" borderId="1" xfId="0" quotePrefix="1" applyFill="1" applyBorder="1"/>
    <xf numFmtId="0" fontId="0" fillId="3" borderId="0" xfId="0" applyFill="1" applyBorder="1"/>
    <xf numFmtId="0" fontId="0" fillId="2" borderId="1" xfId="0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9" borderId="3" xfId="0" applyFill="1" applyBorder="1" applyAlignment="1">
      <alignment horizontal="left" vertical="center" wrapText="1"/>
    </xf>
    <xf numFmtId="0" fontId="0" fillId="9" borderId="4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8" borderId="6" xfId="0" applyFill="1" applyBorder="1" applyAlignment="1">
      <alignment horizontal="left" vertical="top" wrapText="1"/>
    </xf>
    <xf numFmtId="0" fontId="0" fillId="8" borderId="7" xfId="0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 wrapText="1"/>
    </xf>
    <xf numFmtId="0" fontId="0" fillId="8" borderId="9" xfId="0" applyFill="1" applyBorder="1" applyAlignment="1">
      <alignment horizontal="left" vertical="top" wrapText="1"/>
    </xf>
    <xf numFmtId="0" fontId="0" fillId="8" borderId="0" xfId="0" applyFill="1" applyBorder="1" applyAlignment="1">
      <alignment horizontal="left" vertical="top" wrapText="1"/>
    </xf>
    <xf numFmtId="0" fontId="0" fillId="8" borderId="10" xfId="0" applyFill="1" applyBorder="1" applyAlignment="1">
      <alignment horizontal="left" vertical="top" wrapText="1"/>
    </xf>
    <xf numFmtId="0" fontId="0" fillId="8" borderId="11" xfId="0" applyFill="1" applyBorder="1" applyAlignment="1">
      <alignment horizontal="left" vertical="top" wrapText="1"/>
    </xf>
    <xf numFmtId="0" fontId="0" fillId="8" borderId="12" xfId="0" applyFill="1" applyBorder="1" applyAlignment="1">
      <alignment horizontal="left" vertical="top" wrapText="1"/>
    </xf>
    <xf numFmtId="0" fontId="0" fillId="8" borderId="13" xfId="0" applyFill="1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104775</xdr:rowOff>
        </xdr:from>
        <xdr:to>
          <xdr:col>7</xdr:col>
          <xdr:colOff>323850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生成代码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3</xdr:row>
          <xdr:rowOff>66675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0"/>
  <sheetViews>
    <sheetView tabSelected="1" workbookViewId="0">
      <selection activeCell="H16" sqref="H16"/>
    </sheetView>
  </sheetViews>
  <sheetFormatPr defaultColWidth="8.625" defaultRowHeight="15" customHeight="1" x14ac:dyDescent="0.15"/>
  <cols>
    <col min="1" max="1" width="14.125" style="1" customWidth="1"/>
    <col min="2" max="2" width="7" style="1" customWidth="1"/>
    <col min="3" max="3" width="25.25" style="1" customWidth="1"/>
    <col min="4" max="4" width="13.25" style="1" customWidth="1"/>
    <col min="5" max="5" width="12.125" style="1" customWidth="1"/>
    <col min="6" max="6" width="11.75" style="1" customWidth="1"/>
    <col min="7" max="7" width="8.625" style="1"/>
    <col min="8" max="8" width="10" style="1" customWidth="1"/>
    <col min="9" max="9" width="14.375" style="1" hidden="1" customWidth="1"/>
    <col min="10" max="10" width="75.875" style="1" hidden="1" customWidth="1"/>
    <col min="11" max="11" width="0" style="1" hidden="1" customWidth="1"/>
    <col min="12" max="12" width="6" style="1" hidden="1" customWidth="1"/>
    <col min="13" max="13" width="7" style="1" hidden="1" customWidth="1"/>
    <col min="14" max="14" width="32.125" style="1" hidden="1" customWidth="1"/>
    <col min="15" max="15" width="41.375" style="1" hidden="1" customWidth="1"/>
    <col min="16" max="16" width="4.125" style="1" customWidth="1"/>
    <col min="17" max="19" width="13.5" style="1" customWidth="1"/>
    <col min="20" max="20" width="9.375" style="1" customWidth="1"/>
    <col min="21" max="16384" width="8.625" style="1"/>
  </cols>
  <sheetData>
    <row r="1" spans="1:20" ht="15" customHeight="1" x14ac:dyDescent="0.1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1">
        <v>9</v>
      </c>
      <c r="J1" s="3">
        <v>10</v>
      </c>
    </row>
    <row r="2" spans="1:20" ht="15" customHeight="1" x14ac:dyDescent="0.15">
      <c r="A2" s="14" t="s">
        <v>141</v>
      </c>
      <c r="B2" s="1" t="s">
        <v>80</v>
      </c>
      <c r="C2" s="23" t="s">
        <v>0</v>
      </c>
      <c r="D2" s="23"/>
      <c r="E2" s="23"/>
      <c r="F2" s="23"/>
      <c r="I2" s="23" t="s">
        <v>7</v>
      </c>
      <c r="J2" s="23"/>
      <c r="Q2" s="29" t="s">
        <v>139</v>
      </c>
      <c r="R2" s="30"/>
      <c r="S2" s="30"/>
      <c r="T2" s="31"/>
    </row>
    <row r="3" spans="1:20" ht="15.75" customHeight="1" x14ac:dyDescent="0.15">
      <c r="A3" s="14" t="s">
        <v>142</v>
      </c>
      <c r="B3" s="1" t="s">
        <v>81</v>
      </c>
      <c r="C3" s="19" t="s">
        <v>91</v>
      </c>
      <c r="D3" s="12" t="s">
        <v>138</v>
      </c>
      <c r="E3" s="19" t="s">
        <v>92</v>
      </c>
      <c r="F3" s="12" t="s">
        <v>6</v>
      </c>
      <c r="I3" s="7" t="s">
        <v>8</v>
      </c>
      <c r="J3" s="5" t="s">
        <v>5</v>
      </c>
      <c r="K3" s="8" t="s">
        <v>29</v>
      </c>
      <c r="L3" s="8" t="s">
        <v>30</v>
      </c>
      <c r="M3" s="9" t="s">
        <v>28</v>
      </c>
      <c r="N3" s="2" t="str">
        <f>$K$3&amp;$I3&amp;$L$3&amp;$M$3</f>
        <v>public dtd As Variant</v>
      </c>
      <c r="O3" s="2" t="str">
        <f>$K$4&amp;I3&amp;$L$4&amp;I3&amp;$M$4</f>
        <v>case "dtd"    dtd=temp</v>
      </c>
      <c r="Q3" s="32"/>
      <c r="R3" s="33"/>
      <c r="S3" s="33"/>
      <c r="T3" s="34"/>
    </row>
    <row r="4" spans="1:20" ht="15" customHeight="1" x14ac:dyDescent="0.15">
      <c r="A4" s="14" t="s">
        <v>143</v>
      </c>
      <c r="B4" s="1" t="s">
        <v>89</v>
      </c>
      <c r="C4" s="18" t="s">
        <v>94</v>
      </c>
      <c r="D4" s="18" t="s">
        <v>95</v>
      </c>
      <c r="E4" s="18" t="s">
        <v>1</v>
      </c>
      <c r="F4" s="18" t="s">
        <v>93</v>
      </c>
      <c r="G4" s="17"/>
      <c r="I4" s="7" t="s">
        <v>26</v>
      </c>
      <c r="J4" s="2" t="s">
        <v>45</v>
      </c>
      <c r="K4" s="8" t="s">
        <v>31</v>
      </c>
      <c r="L4" s="8" t="s">
        <v>33</v>
      </c>
      <c r="M4" s="10" t="s">
        <v>32</v>
      </c>
      <c r="N4" s="2" t="str">
        <f t="shared" ref="N4:N25" si="0">$K$3&amp;$I4&amp;$L$3&amp;$M$3</f>
        <v>public namespace As Variant</v>
      </c>
      <c r="O4" s="2" t="str">
        <f t="shared" ref="O4:O25" si="1">$K$4&amp;I4&amp;$L$4&amp;I4&amp;$M$4</f>
        <v>case "namespace"    namespace=temp</v>
      </c>
      <c r="Q4" s="32"/>
      <c r="R4" s="33"/>
      <c r="S4" s="33"/>
      <c r="T4" s="34"/>
    </row>
    <row r="5" spans="1:20" ht="15" customHeight="1" x14ac:dyDescent="0.15">
      <c r="A5" s="14" t="s">
        <v>144</v>
      </c>
      <c r="B5" s="1" t="s">
        <v>90</v>
      </c>
      <c r="C5" s="28" t="s">
        <v>98</v>
      </c>
      <c r="D5" s="28" t="s">
        <v>99</v>
      </c>
      <c r="E5" s="2" t="s">
        <v>4</v>
      </c>
      <c r="F5" s="2"/>
      <c r="I5" s="7" t="s">
        <v>49</v>
      </c>
      <c r="J5" s="2" t="s">
        <v>50</v>
      </c>
      <c r="N5" s="2" t="str">
        <f t="shared" si="0"/>
        <v>public namespace_end As Variant</v>
      </c>
      <c r="O5" s="2" t="str">
        <f t="shared" si="1"/>
        <v>case "namespace_end"    namespace_end=temp</v>
      </c>
      <c r="Q5" s="32"/>
      <c r="R5" s="33"/>
      <c r="S5" s="33"/>
      <c r="T5" s="34"/>
    </row>
    <row r="6" spans="1:20" ht="15.75" customHeight="1" x14ac:dyDescent="0.15">
      <c r="A6" s="14"/>
      <c r="C6" s="28" t="s">
        <v>137</v>
      </c>
      <c r="D6" s="28" t="s">
        <v>103</v>
      </c>
      <c r="E6" s="2"/>
      <c r="F6" s="2"/>
      <c r="I6" s="7" t="s">
        <v>27</v>
      </c>
      <c r="J6" s="2" t="str">
        <f>F3</f>
        <v>tables</v>
      </c>
      <c r="N6" s="2" t="str">
        <f t="shared" si="0"/>
        <v>public pakge As Variant</v>
      </c>
      <c r="O6" s="2" t="str">
        <f t="shared" si="1"/>
        <v>case "pakge"    pakge=temp</v>
      </c>
      <c r="Q6" s="32"/>
      <c r="R6" s="33"/>
      <c r="S6" s="33"/>
      <c r="T6" s="34"/>
    </row>
    <row r="7" spans="1:20" ht="15" customHeight="1" x14ac:dyDescent="0.15">
      <c r="A7" s="14"/>
      <c r="C7" s="28" t="s">
        <v>106</v>
      </c>
      <c r="D7" s="28" t="s">
        <v>107</v>
      </c>
      <c r="E7" s="2"/>
      <c r="F7" s="2"/>
      <c r="I7" s="7" t="s">
        <v>46</v>
      </c>
      <c r="J7" s="2" t="str">
        <f>D3</f>
        <v>Contract</v>
      </c>
      <c r="N7" s="2" t="str">
        <f t="shared" si="0"/>
        <v>public entity As Variant</v>
      </c>
      <c r="O7" s="2" t="str">
        <f t="shared" si="1"/>
        <v>case "entity"    entity=temp</v>
      </c>
      <c r="Q7" s="32"/>
      <c r="R7" s="33"/>
      <c r="S7" s="33"/>
      <c r="T7" s="34"/>
    </row>
    <row r="8" spans="1:20" ht="15" customHeight="1" x14ac:dyDescent="0.15">
      <c r="A8" s="14"/>
      <c r="C8" s="28" t="s">
        <v>2</v>
      </c>
      <c r="D8" s="28" t="s">
        <v>103</v>
      </c>
      <c r="E8" s="2"/>
      <c r="F8" s="2"/>
      <c r="I8" s="7" t="s">
        <v>10</v>
      </c>
      <c r="J8" s="2" t="s">
        <v>64</v>
      </c>
      <c r="N8" s="2" t="str">
        <f t="shared" si="0"/>
        <v>public foreach_head As Variant</v>
      </c>
      <c r="O8" s="2" t="str">
        <f t="shared" si="1"/>
        <v>case "foreach_head"    foreach_head=temp</v>
      </c>
      <c r="Q8" s="32"/>
      <c r="R8" s="33"/>
      <c r="S8" s="33"/>
      <c r="T8" s="34"/>
    </row>
    <row r="9" spans="1:20" ht="15" customHeight="1" x14ac:dyDescent="0.15">
      <c r="A9" s="14"/>
      <c r="C9" s="28" t="s">
        <v>109</v>
      </c>
      <c r="D9" s="28" t="s">
        <v>110</v>
      </c>
      <c r="E9" s="2"/>
      <c r="F9" s="2"/>
      <c r="I9" s="7" t="s">
        <v>11</v>
      </c>
      <c r="J9" s="2" t="s">
        <v>9</v>
      </c>
      <c r="N9" s="2" t="str">
        <f t="shared" si="0"/>
        <v>public foreach_end As Variant</v>
      </c>
      <c r="O9" s="2" t="str">
        <f t="shared" si="1"/>
        <v>case "foreach_end"    foreach_end=temp</v>
      </c>
      <c r="Q9" s="32"/>
      <c r="R9" s="33"/>
      <c r="S9" s="33"/>
      <c r="T9" s="34"/>
    </row>
    <row r="10" spans="1:20" ht="15" customHeight="1" x14ac:dyDescent="0.15">
      <c r="A10" s="14"/>
      <c r="C10" s="28" t="s">
        <v>111</v>
      </c>
      <c r="D10" s="28" t="s">
        <v>103</v>
      </c>
      <c r="E10" s="2"/>
      <c r="F10" s="2"/>
      <c r="I10" s="7" t="s">
        <v>12</v>
      </c>
      <c r="J10" s="2" t="s">
        <v>47</v>
      </c>
      <c r="N10" s="2" t="str">
        <f t="shared" si="0"/>
        <v>public insert_head As Variant</v>
      </c>
      <c r="O10" s="2" t="str">
        <f t="shared" si="1"/>
        <v>case "insert_head"    insert_head=temp</v>
      </c>
      <c r="Q10" s="32"/>
      <c r="R10" s="33"/>
      <c r="S10" s="33"/>
      <c r="T10" s="34"/>
    </row>
    <row r="11" spans="1:20" ht="15" customHeight="1" x14ac:dyDescent="0.15">
      <c r="A11" s="14"/>
      <c r="C11" s="28" t="s">
        <v>113</v>
      </c>
      <c r="D11" s="28" t="s">
        <v>107</v>
      </c>
      <c r="E11" s="2"/>
      <c r="F11" s="2"/>
      <c r="I11" s="7" t="s">
        <v>13</v>
      </c>
      <c r="J11" s="2" t="s">
        <v>21</v>
      </c>
      <c r="N11" s="2" t="str">
        <f t="shared" si="0"/>
        <v>public insert_end As Variant</v>
      </c>
      <c r="O11" s="2" t="str">
        <f t="shared" si="1"/>
        <v>case "insert_end"    insert_end=temp</v>
      </c>
      <c r="Q11" s="32"/>
      <c r="R11" s="33"/>
      <c r="S11" s="33"/>
      <c r="T11" s="34"/>
    </row>
    <row r="12" spans="1:20" ht="15" customHeight="1" x14ac:dyDescent="0.15">
      <c r="A12" s="14"/>
      <c r="C12" s="28" t="s">
        <v>114</v>
      </c>
      <c r="D12" s="28" t="s">
        <v>107</v>
      </c>
      <c r="E12" s="2"/>
      <c r="F12" s="2"/>
      <c r="I12" s="7" t="s">
        <v>14</v>
      </c>
      <c r="J12" s="2" t="s">
        <v>22</v>
      </c>
      <c r="N12" s="2" t="str">
        <f t="shared" si="0"/>
        <v>public insert_msg As Variant</v>
      </c>
      <c r="O12" s="2" t="str">
        <f t="shared" si="1"/>
        <v>case "insert_msg"    insert_msg=temp</v>
      </c>
      <c r="Q12" s="32"/>
      <c r="R12" s="33"/>
      <c r="S12" s="33"/>
      <c r="T12" s="34"/>
    </row>
    <row r="13" spans="1:20" ht="15" customHeight="1" x14ac:dyDescent="0.15">
      <c r="A13" s="14"/>
      <c r="C13" s="28" t="s">
        <v>115</v>
      </c>
      <c r="D13" s="28" t="s">
        <v>99</v>
      </c>
      <c r="E13" s="2"/>
      <c r="F13" s="2"/>
      <c r="I13" s="7" t="s">
        <v>15</v>
      </c>
      <c r="J13" s="2" t="s">
        <v>23</v>
      </c>
      <c r="N13" s="2" t="str">
        <f t="shared" si="0"/>
        <v>public delete_head As Variant</v>
      </c>
      <c r="O13" s="2" t="str">
        <f t="shared" si="1"/>
        <v>case "delete_head"    delete_head=temp</v>
      </c>
      <c r="Q13" s="32"/>
      <c r="R13" s="33"/>
      <c r="S13" s="33"/>
      <c r="T13" s="34"/>
    </row>
    <row r="14" spans="1:20" ht="15" customHeight="1" x14ac:dyDescent="0.15">
      <c r="A14" s="14"/>
      <c r="C14" s="28" t="s">
        <v>116</v>
      </c>
      <c r="D14" s="28" t="s">
        <v>103</v>
      </c>
      <c r="E14" s="2"/>
      <c r="F14" s="2"/>
      <c r="I14" s="7" t="s">
        <v>16</v>
      </c>
      <c r="J14" s="2" t="s">
        <v>24</v>
      </c>
      <c r="N14" s="2" t="str">
        <f t="shared" si="0"/>
        <v>public delete_end As Variant</v>
      </c>
      <c r="O14" s="2" t="str">
        <f t="shared" si="1"/>
        <v>case "delete_end"    delete_end=temp</v>
      </c>
      <c r="Q14" s="32"/>
      <c r="R14" s="33"/>
      <c r="S14" s="33"/>
      <c r="T14" s="34"/>
    </row>
    <row r="15" spans="1:20" ht="15" customHeight="1" x14ac:dyDescent="0.15">
      <c r="A15" s="14"/>
      <c r="C15" s="28" t="s">
        <v>117</v>
      </c>
      <c r="D15" s="28" t="s">
        <v>103</v>
      </c>
      <c r="E15" s="2"/>
      <c r="F15" s="2"/>
      <c r="I15" s="7" t="s">
        <v>17</v>
      </c>
      <c r="J15" s="2" t="s">
        <v>48</v>
      </c>
      <c r="N15" s="2" t="str">
        <f t="shared" si="0"/>
        <v>public delete_msg As Variant</v>
      </c>
      <c r="O15" s="2" t="str">
        <f t="shared" si="1"/>
        <v>case "delete_msg"    delete_msg=temp</v>
      </c>
      <c r="Q15" s="32"/>
      <c r="R15" s="33"/>
      <c r="S15" s="33"/>
      <c r="T15" s="34"/>
    </row>
    <row r="16" spans="1:20" ht="15" customHeight="1" x14ac:dyDescent="0.15">
      <c r="A16" s="14"/>
      <c r="C16" s="28" t="s">
        <v>118</v>
      </c>
      <c r="D16" s="28" t="s">
        <v>103</v>
      </c>
      <c r="E16" s="2"/>
      <c r="F16" s="2"/>
      <c r="I16" s="7" t="s">
        <v>18</v>
      </c>
      <c r="J16" s="2" t="s">
        <v>37</v>
      </c>
      <c r="N16" s="2" t="str">
        <f t="shared" si="0"/>
        <v>public update_head As Variant</v>
      </c>
      <c r="O16" s="2" t="str">
        <f t="shared" si="1"/>
        <v>case "update_head"    update_head=temp</v>
      </c>
      <c r="Q16" s="32"/>
      <c r="R16" s="33"/>
      <c r="S16" s="33"/>
      <c r="T16" s="34"/>
    </row>
    <row r="17" spans="1:20" ht="15" customHeight="1" x14ac:dyDescent="0.15">
      <c r="A17" s="14"/>
      <c r="C17" s="28" t="s">
        <v>119</v>
      </c>
      <c r="D17" s="28" t="s">
        <v>103</v>
      </c>
      <c r="E17" s="2"/>
      <c r="F17" s="2"/>
      <c r="I17" s="7" t="s">
        <v>19</v>
      </c>
      <c r="J17" s="2" t="s">
        <v>25</v>
      </c>
      <c r="N17" s="2" t="str">
        <f t="shared" si="0"/>
        <v>public update_end As Variant</v>
      </c>
      <c r="O17" s="2" t="str">
        <f t="shared" si="1"/>
        <v>case "update_end"    update_end=temp</v>
      </c>
      <c r="Q17" s="32"/>
      <c r="R17" s="33"/>
      <c r="S17" s="33"/>
      <c r="T17" s="34"/>
    </row>
    <row r="18" spans="1:20" ht="15" customHeight="1" x14ac:dyDescent="0.15">
      <c r="A18" s="14"/>
      <c r="C18" s="28" t="s">
        <v>120</v>
      </c>
      <c r="D18" s="28" t="s">
        <v>103</v>
      </c>
      <c r="E18" s="2"/>
      <c r="F18" s="2"/>
      <c r="I18" s="7" t="s">
        <v>20</v>
      </c>
      <c r="J18" s="2" t="s">
        <v>63</v>
      </c>
      <c r="N18" s="2" t="str">
        <f t="shared" si="0"/>
        <v>public update_msg As Variant</v>
      </c>
      <c r="O18" s="2" t="str">
        <f t="shared" si="1"/>
        <v>case "update_msg"    update_msg=temp</v>
      </c>
      <c r="Q18" s="32"/>
      <c r="R18" s="33"/>
      <c r="S18" s="33"/>
      <c r="T18" s="34"/>
    </row>
    <row r="19" spans="1:20" ht="15" customHeight="1" x14ac:dyDescent="0.15">
      <c r="A19" s="14"/>
      <c r="C19" s="28" t="s">
        <v>121</v>
      </c>
      <c r="D19" s="28" t="s">
        <v>99</v>
      </c>
      <c r="E19" s="2"/>
      <c r="F19" s="2"/>
      <c r="I19" s="7" t="s">
        <v>34</v>
      </c>
      <c r="J19" s="2" t="s">
        <v>74</v>
      </c>
      <c r="N19" s="2" t="str">
        <f t="shared" si="0"/>
        <v>public select_head As Variant</v>
      </c>
      <c r="O19" s="2" t="str">
        <f t="shared" si="1"/>
        <v>case "select_head"    select_head=temp</v>
      </c>
      <c r="Q19" s="32"/>
      <c r="R19" s="33"/>
      <c r="S19" s="33"/>
      <c r="T19" s="34"/>
    </row>
    <row r="20" spans="1:20" ht="15" customHeight="1" x14ac:dyDescent="0.15">
      <c r="A20" s="6"/>
      <c r="C20" s="28" t="s">
        <v>122</v>
      </c>
      <c r="D20" s="28" t="s">
        <v>110</v>
      </c>
      <c r="E20" s="2"/>
      <c r="F20" s="2"/>
      <c r="I20" s="7" t="s">
        <v>35</v>
      </c>
      <c r="J20" s="2" t="s">
        <v>42</v>
      </c>
      <c r="N20" s="2" t="str">
        <f t="shared" si="0"/>
        <v>public select_end As Variant</v>
      </c>
      <c r="O20" s="2" t="str">
        <f t="shared" si="1"/>
        <v>case "select_end"    select_end=temp</v>
      </c>
      <c r="Q20" s="32"/>
      <c r="R20" s="33"/>
      <c r="S20" s="33"/>
      <c r="T20" s="34"/>
    </row>
    <row r="21" spans="1:20" ht="15" customHeight="1" x14ac:dyDescent="0.15">
      <c r="A21" s="6"/>
      <c r="C21" s="28" t="s">
        <v>123</v>
      </c>
      <c r="D21" s="28" t="s">
        <v>110</v>
      </c>
      <c r="E21" s="2"/>
      <c r="F21" s="2"/>
      <c r="I21" s="7" t="s">
        <v>36</v>
      </c>
      <c r="J21" s="2" t="s">
        <v>68</v>
      </c>
      <c r="N21" s="2" t="str">
        <f t="shared" si="0"/>
        <v>public select_msg As Variant</v>
      </c>
      <c r="O21" s="2" t="str">
        <f t="shared" si="1"/>
        <v>case "select_msg"    select_msg=temp</v>
      </c>
      <c r="Q21" s="32"/>
      <c r="R21" s="33"/>
      <c r="S21" s="33"/>
      <c r="T21" s="34"/>
    </row>
    <row r="22" spans="1:20" ht="18" customHeight="1" x14ac:dyDescent="0.15">
      <c r="A22" s="6"/>
      <c r="B22" s="6"/>
      <c r="C22" s="28" t="s">
        <v>124</v>
      </c>
      <c r="D22" s="28" t="s">
        <v>110</v>
      </c>
      <c r="E22" s="2"/>
      <c r="F22" s="2"/>
      <c r="I22" s="7" t="s">
        <v>38</v>
      </c>
      <c r="J22" s="2" t="s">
        <v>70</v>
      </c>
      <c r="N22" s="2" t="str">
        <f t="shared" si="0"/>
        <v>public if_head As Variant</v>
      </c>
      <c r="O22" s="2" t="str">
        <f t="shared" si="1"/>
        <v>case "if_head"    if_head=temp</v>
      </c>
      <c r="Q22" s="32"/>
      <c r="R22" s="33"/>
      <c r="S22" s="33"/>
      <c r="T22" s="34"/>
    </row>
    <row r="23" spans="1:20" ht="18" customHeight="1" x14ac:dyDescent="0.15">
      <c r="A23" s="6"/>
      <c r="B23" s="6"/>
      <c r="C23" s="28" t="s">
        <v>3</v>
      </c>
      <c r="D23" s="28" t="s">
        <v>110</v>
      </c>
      <c r="E23" s="2"/>
      <c r="F23" s="2"/>
      <c r="I23" s="7" t="s">
        <v>39</v>
      </c>
      <c r="J23" s="2" t="s">
        <v>43</v>
      </c>
      <c r="N23" s="2" t="str">
        <f t="shared" si="0"/>
        <v>public if_end As Variant</v>
      </c>
      <c r="O23" s="2" t="str">
        <f t="shared" si="1"/>
        <v>case "if_end"    if_end=temp</v>
      </c>
      <c r="Q23" s="32"/>
      <c r="R23" s="33"/>
      <c r="S23" s="33"/>
      <c r="T23" s="34"/>
    </row>
    <row r="24" spans="1:20" ht="18" customHeight="1" x14ac:dyDescent="0.15">
      <c r="A24" s="6"/>
      <c r="B24" s="6"/>
      <c r="C24" s="28" t="s">
        <v>125</v>
      </c>
      <c r="D24" s="28" t="s">
        <v>110</v>
      </c>
      <c r="E24" s="2"/>
      <c r="F24" s="2"/>
      <c r="I24" s="7" t="s">
        <v>40</v>
      </c>
      <c r="J24" s="2" t="s">
        <v>44</v>
      </c>
      <c r="N24" s="2" t="str">
        <f t="shared" si="0"/>
        <v>public sql_head As Variant</v>
      </c>
      <c r="O24" s="2" t="str">
        <f t="shared" si="1"/>
        <v>case "sql_head"    sql_head=temp</v>
      </c>
      <c r="Q24" s="32"/>
      <c r="R24" s="33"/>
      <c r="S24" s="33"/>
      <c r="T24" s="34"/>
    </row>
    <row r="25" spans="1:20" ht="18" customHeight="1" x14ac:dyDescent="0.15">
      <c r="A25" s="6"/>
      <c r="B25" s="6"/>
      <c r="C25" s="28" t="s">
        <v>126</v>
      </c>
      <c r="D25" s="28" t="s">
        <v>110</v>
      </c>
      <c r="E25" s="2"/>
      <c r="F25" s="2"/>
      <c r="I25" s="7" t="s">
        <v>41</v>
      </c>
      <c r="J25" s="2" t="s">
        <v>66</v>
      </c>
      <c r="N25" s="2" t="str">
        <f t="shared" si="0"/>
        <v>public sql_end As Variant</v>
      </c>
      <c r="O25" s="2" t="str">
        <f t="shared" si="1"/>
        <v>case "sql_end"    sql_end=temp</v>
      </c>
      <c r="Q25" s="35"/>
      <c r="R25" s="36"/>
      <c r="S25" s="36"/>
      <c r="T25" s="37"/>
    </row>
    <row r="26" spans="1:20" ht="18" customHeight="1" x14ac:dyDescent="0.15">
      <c r="A26" s="6"/>
      <c r="B26" s="6"/>
      <c r="C26" s="28" t="s">
        <v>127</v>
      </c>
      <c r="D26" s="28" t="s">
        <v>110</v>
      </c>
      <c r="E26" s="2"/>
      <c r="F26" s="2"/>
      <c r="I26" s="7" t="s">
        <v>65</v>
      </c>
      <c r="J26" s="2" t="s">
        <v>67</v>
      </c>
      <c r="N26" s="2" t="str">
        <f>$K$3&amp;$I26&amp;$L$3&amp;$M$3</f>
        <v>public set_full As Variant</v>
      </c>
      <c r="O26" s="2" t="str">
        <f>$K$4&amp;I26&amp;$L$4&amp;I26&amp;$M$4</f>
        <v>case "set_full"    set_full=temp</v>
      </c>
    </row>
    <row r="27" spans="1:20" ht="18" customHeight="1" x14ac:dyDescent="0.15">
      <c r="A27" s="6"/>
      <c r="B27" s="6"/>
      <c r="C27" s="28" t="s">
        <v>128</v>
      </c>
      <c r="D27" s="28" t="s">
        <v>110</v>
      </c>
      <c r="E27" s="2"/>
      <c r="F27" s="2"/>
      <c r="I27" s="7" t="s">
        <v>71</v>
      </c>
      <c r="J27" s="2" t="s">
        <v>77</v>
      </c>
      <c r="N27" s="2" t="str">
        <f t="shared" ref="N27:N34" si="2">$K$3&amp;$I27&amp;$L$3&amp;$M$3</f>
        <v>public cdata_a As Variant</v>
      </c>
      <c r="O27" s="2" t="str">
        <f t="shared" ref="O27:O28" si="3">$K$4&amp;I27&amp;$L$4&amp;I27&amp;$M$4</f>
        <v>case "cdata_a"    cdata_a=temp</v>
      </c>
    </row>
    <row r="28" spans="1:20" ht="18" customHeight="1" x14ac:dyDescent="0.15">
      <c r="A28" s="6"/>
      <c r="B28" s="6"/>
      <c r="C28" s="28" t="s">
        <v>129</v>
      </c>
      <c r="D28" s="28" t="s">
        <v>110</v>
      </c>
      <c r="E28" s="2"/>
      <c r="F28" s="2"/>
      <c r="I28" s="7" t="s">
        <v>79</v>
      </c>
      <c r="J28" s="2" t="s">
        <v>78</v>
      </c>
      <c r="N28" s="2" t="str">
        <f t="shared" si="2"/>
        <v>public cdata_b As Variant</v>
      </c>
      <c r="O28" s="2" t="str">
        <f t="shared" si="3"/>
        <v>case "cdata_b"    cdata_b=temp</v>
      </c>
    </row>
    <row r="29" spans="1:20" ht="18" customHeight="1" x14ac:dyDescent="0.15">
      <c r="A29" s="6"/>
      <c r="B29" s="6"/>
      <c r="C29" s="28" t="s">
        <v>130</v>
      </c>
      <c r="D29" s="28" t="s">
        <v>110</v>
      </c>
      <c r="E29" s="2"/>
      <c r="F29" s="2"/>
      <c r="I29" s="7" t="s">
        <v>72</v>
      </c>
      <c r="J29" s="2" t="s">
        <v>76</v>
      </c>
      <c r="N29" s="2" t="str">
        <f t="shared" si="2"/>
        <v>public like_full As Variant</v>
      </c>
      <c r="O29" s="2" t="str">
        <f t="shared" ref="O29" si="4">$K$4&amp;I29&amp;$L$4&amp;I29&amp;$M$4</f>
        <v>case "like_full"    like_full=temp</v>
      </c>
    </row>
    <row r="30" spans="1:20" ht="18" customHeight="1" x14ac:dyDescent="0.15">
      <c r="A30" s="6"/>
      <c r="B30" s="6"/>
      <c r="C30" s="28" t="s">
        <v>131</v>
      </c>
      <c r="D30" s="28" t="s">
        <v>110</v>
      </c>
      <c r="E30" s="2"/>
      <c r="F30" s="2"/>
      <c r="I30" s="7" t="s">
        <v>73</v>
      </c>
      <c r="J30" s="2" t="s">
        <v>75</v>
      </c>
      <c r="N30" s="2" t="str">
        <f t="shared" si="2"/>
        <v>public include_full As Variant</v>
      </c>
      <c r="O30" s="2" t="str">
        <f t="shared" ref="O30:O32" si="5">$K$4&amp;I30&amp;$L$4&amp;I30&amp;$M$4</f>
        <v>case "include_full"    include_full=temp</v>
      </c>
    </row>
    <row r="31" spans="1:20" ht="18" customHeight="1" x14ac:dyDescent="0.15">
      <c r="A31" s="6"/>
      <c r="B31" s="6"/>
      <c r="C31" s="28" t="s">
        <v>132</v>
      </c>
      <c r="D31" s="28" t="s">
        <v>110</v>
      </c>
      <c r="E31" s="2"/>
      <c r="F31" s="2"/>
      <c r="I31" s="15" t="s">
        <v>81</v>
      </c>
      <c r="J31" s="5" t="s">
        <v>82</v>
      </c>
      <c r="N31" s="2" t="str">
        <f t="shared" si="2"/>
        <v>public DAO As Variant</v>
      </c>
      <c r="O31" s="2" t="str">
        <f t="shared" si="5"/>
        <v>case "DAO"    DAO=temp</v>
      </c>
    </row>
    <row r="32" spans="1:20" ht="18" customHeight="1" x14ac:dyDescent="0.15">
      <c r="A32" s="6"/>
      <c r="B32" s="6"/>
      <c r="C32" s="28" t="s">
        <v>133</v>
      </c>
      <c r="D32" s="28" t="s">
        <v>110</v>
      </c>
      <c r="E32" s="2"/>
      <c r="F32" s="2"/>
      <c r="I32" s="15" t="s">
        <v>83</v>
      </c>
      <c r="J32" s="16" t="s">
        <v>88</v>
      </c>
      <c r="N32" s="2" t="str">
        <f t="shared" si="2"/>
        <v>public date_formate As Variant</v>
      </c>
      <c r="O32" s="2" t="str">
        <f t="shared" si="5"/>
        <v>case "date_formate"    date_formate=temp</v>
      </c>
    </row>
    <row r="33" spans="1:15" ht="18" customHeight="1" x14ac:dyDescent="0.15">
      <c r="A33" s="6"/>
      <c r="B33" s="6"/>
      <c r="C33" s="28" t="s">
        <v>134</v>
      </c>
      <c r="D33" s="28" t="s">
        <v>99</v>
      </c>
      <c r="E33" s="2"/>
      <c r="F33" s="2"/>
      <c r="I33" s="15" t="s">
        <v>84</v>
      </c>
      <c r="J33" s="5" t="s">
        <v>86</v>
      </c>
      <c r="N33" s="2" t="str">
        <f t="shared" si="2"/>
        <v>public class_entity As Variant</v>
      </c>
      <c r="O33" s="2" t="str">
        <f t="shared" ref="O33:O34" si="6">$K$4&amp;I33&amp;$L$4&amp;I33&amp;$M$4</f>
        <v>case "class_entity"    class_entity=temp</v>
      </c>
    </row>
    <row r="34" spans="1:15" ht="18" customHeight="1" x14ac:dyDescent="0.15">
      <c r="A34" s="6"/>
      <c r="B34" s="6"/>
      <c r="C34" s="28" t="s">
        <v>135</v>
      </c>
      <c r="D34" s="28" t="s">
        <v>103</v>
      </c>
      <c r="E34" s="2"/>
      <c r="F34" s="2"/>
      <c r="I34" s="2" t="s">
        <v>85</v>
      </c>
      <c r="J34" s="5" t="s">
        <v>87</v>
      </c>
      <c r="N34" s="1" t="str">
        <f t="shared" si="2"/>
        <v>public date_msg As Variant</v>
      </c>
      <c r="O34" s="1" t="str">
        <f t="shared" si="6"/>
        <v>case "date_msg"    date_msg=temp</v>
      </c>
    </row>
    <row r="35" spans="1:15" ht="18" customHeight="1" x14ac:dyDescent="0.15">
      <c r="A35" s="6"/>
      <c r="B35" s="6"/>
      <c r="C35" s="28" t="s">
        <v>136</v>
      </c>
      <c r="D35" s="28" t="s">
        <v>107</v>
      </c>
      <c r="E35" s="2"/>
      <c r="F35" s="2"/>
    </row>
    <row r="36" spans="1:15" ht="18" customHeight="1" x14ac:dyDescent="0.15">
      <c r="A36" s="6"/>
      <c r="B36" s="6"/>
      <c r="C36" s="6"/>
      <c r="D36" s="6"/>
    </row>
    <row r="37" spans="1:15" ht="18" customHeight="1" x14ac:dyDescent="0.15">
      <c r="A37" s="6"/>
      <c r="B37" s="6"/>
      <c r="C37" s="6"/>
      <c r="D37" s="6"/>
    </row>
    <row r="38" spans="1:15" ht="18" customHeight="1" x14ac:dyDescent="0.15">
      <c r="A38" s="6"/>
      <c r="B38" s="6"/>
      <c r="C38" s="6"/>
      <c r="D38" s="6"/>
    </row>
    <row r="39" spans="1:15" ht="18" customHeight="1" x14ac:dyDescent="0.15">
      <c r="A39" s="6"/>
      <c r="B39" s="6"/>
      <c r="C39" s="6"/>
      <c r="D39" s="6"/>
    </row>
    <row r="40" spans="1:15" ht="18" customHeight="1" x14ac:dyDescent="0.15">
      <c r="A40" s="6"/>
      <c r="B40" s="6"/>
      <c r="C40" s="6"/>
      <c r="D40" s="6"/>
    </row>
    <row r="41" spans="1:15" ht="18" customHeight="1" x14ac:dyDescent="0.15">
      <c r="A41" s="6"/>
      <c r="B41" s="6"/>
      <c r="C41" s="6"/>
      <c r="D41" s="6"/>
    </row>
    <row r="42" spans="1:15" ht="18" customHeight="1" x14ac:dyDescent="0.15">
      <c r="A42" s="6"/>
      <c r="B42" s="6"/>
      <c r="C42" s="6"/>
      <c r="D42" s="6"/>
    </row>
    <row r="43" spans="1:15" ht="18" customHeight="1" x14ac:dyDescent="0.15">
      <c r="A43" s="6"/>
      <c r="B43" s="6"/>
      <c r="C43" s="6"/>
      <c r="D43" s="6"/>
    </row>
    <row r="44" spans="1:15" ht="18" customHeight="1" x14ac:dyDescent="0.15">
      <c r="A44" s="6"/>
      <c r="B44" s="6"/>
      <c r="C44" s="6"/>
      <c r="D44" s="6"/>
    </row>
    <row r="45" spans="1:15" ht="18" customHeight="1" x14ac:dyDescent="0.15">
      <c r="A45" s="6"/>
      <c r="B45" s="6"/>
      <c r="C45" s="6"/>
      <c r="D45" s="6"/>
    </row>
    <row r="46" spans="1:15" ht="18" customHeight="1" x14ac:dyDescent="0.15">
      <c r="A46" s="6"/>
      <c r="B46" s="6"/>
      <c r="C46" s="6"/>
      <c r="D46" s="6"/>
    </row>
    <row r="47" spans="1:15" ht="18" customHeight="1" x14ac:dyDescent="0.15">
      <c r="A47" s="6"/>
      <c r="B47" s="6"/>
      <c r="C47" s="6"/>
      <c r="D47" s="6"/>
    </row>
    <row r="48" spans="1:15" ht="18" customHeight="1" x14ac:dyDescent="0.15">
      <c r="A48" s="6"/>
      <c r="B48" s="6"/>
      <c r="C48" s="6"/>
      <c r="D48" s="6"/>
    </row>
    <row r="49" spans="1:7" ht="18" customHeight="1" x14ac:dyDescent="0.15">
      <c r="A49" s="6"/>
      <c r="B49" s="6"/>
      <c r="C49" s="6"/>
      <c r="D49" s="6"/>
    </row>
    <row r="50" spans="1:7" ht="18" customHeight="1" x14ac:dyDescent="0.15">
      <c r="A50" s="6"/>
      <c r="B50" s="6"/>
      <c r="C50" s="6"/>
      <c r="D50" s="6"/>
    </row>
    <row r="51" spans="1:7" ht="18" customHeight="1" x14ac:dyDescent="0.15">
      <c r="A51" s="6"/>
      <c r="B51" s="6"/>
      <c r="C51" s="6"/>
      <c r="D51" s="6"/>
    </row>
    <row r="52" spans="1:7" ht="18" customHeight="1" x14ac:dyDescent="0.15">
      <c r="A52" s="6"/>
      <c r="B52" s="6"/>
      <c r="C52" s="6"/>
      <c r="D52" s="6"/>
      <c r="E52" s="4"/>
      <c r="F52" s="4"/>
      <c r="G52" s="4"/>
    </row>
    <row r="53" spans="1:7" ht="18" customHeight="1" x14ac:dyDescent="0.15">
      <c r="A53" s="6"/>
      <c r="B53" s="6"/>
      <c r="C53" s="6"/>
      <c r="D53" s="6"/>
      <c r="E53" s="4"/>
      <c r="F53" s="4"/>
      <c r="G53" s="4"/>
    </row>
    <row r="54" spans="1:7" ht="15" customHeight="1" x14ac:dyDescent="0.15">
      <c r="A54" s="6"/>
      <c r="B54" s="6"/>
      <c r="C54" s="6"/>
      <c r="D54" s="6"/>
      <c r="E54" s="4"/>
      <c r="F54" s="4"/>
      <c r="G54" s="4"/>
    </row>
    <row r="55" spans="1:7" ht="15" customHeight="1" x14ac:dyDescent="0.15">
      <c r="A55" s="6"/>
      <c r="B55" s="6"/>
      <c r="C55" s="6"/>
      <c r="D55" s="6"/>
      <c r="E55" s="4"/>
      <c r="F55" s="4"/>
      <c r="G55" s="4"/>
    </row>
    <row r="56" spans="1:7" ht="15" customHeight="1" x14ac:dyDescent="0.15">
      <c r="A56" s="6"/>
      <c r="B56" s="4"/>
      <c r="C56" s="4"/>
      <c r="D56" s="4"/>
      <c r="E56" s="4"/>
      <c r="F56" s="4"/>
      <c r="G56" s="4"/>
    </row>
    <row r="57" spans="1:7" ht="15" customHeight="1" x14ac:dyDescent="0.15">
      <c r="A57" s="6"/>
      <c r="B57" s="4"/>
      <c r="C57" s="4"/>
      <c r="D57" s="4"/>
      <c r="E57" s="4"/>
      <c r="F57" s="4"/>
      <c r="G57" s="4"/>
    </row>
    <row r="58" spans="1:7" ht="15" customHeight="1" x14ac:dyDescent="0.15">
      <c r="A58" s="6"/>
      <c r="B58" s="4"/>
      <c r="C58" s="4"/>
      <c r="D58" s="4"/>
      <c r="E58" s="4"/>
      <c r="F58" s="4"/>
      <c r="G58" s="4"/>
    </row>
    <row r="59" spans="1:7" ht="15" customHeight="1" x14ac:dyDescent="0.15">
      <c r="A59" s="6"/>
      <c r="B59" s="4"/>
      <c r="C59" s="4"/>
      <c r="D59" s="4"/>
      <c r="E59" s="4"/>
      <c r="F59" s="4"/>
      <c r="G59" s="4"/>
    </row>
    <row r="60" spans="1:7" ht="15" customHeight="1" x14ac:dyDescent="0.15">
      <c r="A60" s="6"/>
      <c r="B60" s="4"/>
      <c r="C60" s="4"/>
      <c r="D60" s="4"/>
      <c r="E60" s="4"/>
      <c r="F60" s="4"/>
      <c r="G60" s="4"/>
    </row>
    <row r="61" spans="1:7" ht="15" customHeight="1" x14ac:dyDescent="0.15">
      <c r="A61" s="6"/>
    </row>
    <row r="62" spans="1:7" ht="15" customHeight="1" x14ac:dyDescent="0.15">
      <c r="A62" s="6"/>
    </row>
    <row r="63" spans="1:7" ht="15" customHeight="1" x14ac:dyDescent="0.15">
      <c r="A63" s="6"/>
    </row>
    <row r="64" spans="1:7" ht="15" customHeight="1" x14ac:dyDescent="0.15">
      <c r="A64" s="6"/>
    </row>
    <row r="65" spans="1:1" ht="15" customHeight="1" x14ac:dyDescent="0.15">
      <c r="A65" s="6"/>
    </row>
    <row r="66" spans="1:1" ht="15" customHeight="1" x14ac:dyDescent="0.15">
      <c r="A66" s="6"/>
    </row>
    <row r="67" spans="1:1" ht="15" customHeight="1" x14ac:dyDescent="0.15">
      <c r="A67" s="6"/>
    </row>
    <row r="68" spans="1:1" ht="15" customHeight="1" x14ac:dyDescent="0.15">
      <c r="A68" s="6"/>
    </row>
    <row r="69" spans="1:1" ht="15" customHeight="1" x14ac:dyDescent="0.15">
      <c r="A69" s="6"/>
    </row>
    <row r="70" spans="1:1" ht="15" customHeight="1" x14ac:dyDescent="0.15">
      <c r="A70" s="6"/>
    </row>
    <row r="71" spans="1:1" ht="15" customHeight="1" x14ac:dyDescent="0.15">
      <c r="A71" s="6"/>
    </row>
    <row r="72" spans="1:1" ht="15" customHeight="1" x14ac:dyDescent="0.15">
      <c r="A72" s="6"/>
    </row>
    <row r="73" spans="1:1" ht="15" customHeight="1" x14ac:dyDescent="0.15">
      <c r="A73" s="6"/>
    </row>
    <row r="74" spans="1:1" ht="15" customHeight="1" x14ac:dyDescent="0.15">
      <c r="A74" s="6"/>
    </row>
    <row r="75" spans="1:1" ht="15" customHeight="1" x14ac:dyDescent="0.15">
      <c r="A75" s="6"/>
    </row>
    <row r="76" spans="1:1" ht="15" customHeight="1" x14ac:dyDescent="0.15">
      <c r="A76" s="6"/>
    </row>
    <row r="77" spans="1:1" ht="15" customHeight="1" x14ac:dyDescent="0.15">
      <c r="A77" s="6"/>
    </row>
    <row r="78" spans="1:1" ht="15" customHeight="1" x14ac:dyDescent="0.15">
      <c r="A78" s="6"/>
    </row>
    <row r="79" spans="1:1" ht="15" customHeight="1" x14ac:dyDescent="0.15">
      <c r="A79" s="6"/>
    </row>
    <row r="80" spans="1:1" ht="15" customHeight="1" x14ac:dyDescent="0.15">
      <c r="A80" s="6"/>
    </row>
    <row r="81" spans="1:1" ht="15" customHeight="1" x14ac:dyDescent="0.15">
      <c r="A81" s="6"/>
    </row>
    <row r="82" spans="1:1" ht="15" customHeight="1" x14ac:dyDescent="0.15">
      <c r="A82" s="6"/>
    </row>
    <row r="83" spans="1:1" ht="15" customHeight="1" x14ac:dyDescent="0.15">
      <c r="A83" s="6"/>
    </row>
    <row r="84" spans="1:1" ht="15" customHeight="1" x14ac:dyDescent="0.15">
      <c r="A84" s="6"/>
    </row>
    <row r="85" spans="1:1" ht="15" customHeight="1" x14ac:dyDescent="0.15">
      <c r="A85" s="6"/>
    </row>
    <row r="86" spans="1:1" ht="15" customHeight="1" x14ac:dyDescent="0.15">
      <c r="A86" s="6"/>
    </row>
    <row r="87" spans="1:1" ht="15" customHeight="1" x14ac:dyDescent="0.15">
      <c r="A87" s="6"/>
    </row>
    <row r="88" spans="1:1" ht="15" customHeight="1" x14ac:dyDescent="0.15">
      <c r="A88" s="6"/>
    </row>
    <row r="89" spans="1:1" ht="15" customHeight="1" x14ac:dyDescent="0.15">
      <c r="A89" s="6"/>
    </row>
    <row r="90" spans="1:1" ht="15" customHeight="1" x14ac:dyDescent="0.15">
      <c r="A90" s="6"/>
    </row>
    <row r="91" spans="1:1" ht="15" customHeight="1" x14ac:dyDescent="0.15">
      <c r="A91" s="6"/>
    </row>
    <row r="92" spans="1:1" ht="15" customHeight="1" x14ac:dyDescent="0.15">
      <c r="A92" s="6"/>
    </row>
    <row r="93" spans="1:1" ht="15" customHeight="1" x14ac:dyDescent="0.15">
      <c r="A93" s="6"/>
    </row>
    <row r="94" spans="1:1" ht="15" customHeight="1" x14ac:dyDescent="0.15">
      <c r="A94" s="6"/>
    </row>
    <row r="95" spans="1:1" ht="15" customHeight="1" x14ac:dyDescent="0.15">
      <c r="A95" s="6"/>
    </row>
    <row r="96" spans="1:1" ht="15" customHeight="1" x14ac:dyDescent="0.15">
      <c r="A96" s="6"/>
    </row>
    <row r="97" spans="1:1" ht="15" customHeight="1" x14ac:dyDescent="0.15">
      <c r="A97" s="6"/>
    </row>
    <row r="98" spans="1:1" ht="15" customHeight="1" x14ac:dyDescent="0.15">
      <c r="A98" s="6"/>
    </row>
    <row r="99" spans="1:1" ht="15" customHeight="1" x14ac:dyDescent="0.15">
      <c r="A99" s="6"/>
    </row>
    <row r="100" spans="1:1" ht="15" customHeight="1" x14ac:dyDescent="0.15">
      <c r="A100" s="6"/>
    </row>
    <row r="101" spans="1:1" ht="15" customHeight="1" x14ac:dyDescent="0.15">
      <c r="A101" s="6"/>
    </row>
    <row r="102" spans="1:1" ht="15" customHeight="1" x14ac:dyDescent="0.15">
      <c r="A102" s="6"/>
    </row>
    <row r="103" spans="1:1" ht="15" customHeight="1" x14ac:dyDescent="0.15">
      <c r="A103" s="6"/>
    </row>
    <row r="104" spans="1:1" ht="15" customHeight="1" x14ac:dyDescent="0.15">
      <c r="A104" s="6"/>
    </row>
    <row r="105" spans="1:1" ht="15" customHeight="1" x14ac:dyDescent="0.15">
      <c r="A105" s="6"/>
    </row>
    <row r="106" spans="1:1" ht="15" customHeight="1" x14ac:dyDescent="0.15">
      <c r="A106" s="6"/>
    </row>
    <row r="107" spans="1:1" ht="15" customHeight="1" x14ac:dyDescent="0.15">
      <c r="A107" s="6"/>
    </row>
    <row r="108" spans="1:1" ht="15" customHeight="1" x14ac:dyDescent="0.15">
      <c r="A108" s="6"/>
    </row>
    <row r="109" spans="1:1" ht="15" customHeight="1" x14ac:dyDescent="0.15">
      <c r="A109" s="6"/>
    </row>
    <row r="110" spans="1:1" ht="15" customHeight="1" x14ac:dyDescent="0.15">
      <c r="A110" s="6"/>
    </row>
    <row r="111" spans="1:1" ht="15" customHeight="1" x14ac:dyDescent="0.15">
      <c r="A111" s="6"/>
    </row>
    <row r="112" spans="1:1" ht="15" customHeight="1" x14ac:dyDescent="0.15">
      <c r="A112" s="6"/>
    </row>
    <row r="113" spans="1:1" ht="15" customHeight="1" x14ac:dyDescent="0.15">
      <c r="A113" s="6"/>
    </row>
    <row r="114" spans="1:1" ht="15" customHeight="1" x14ac:dyDescent="0.15">
      <c r="A114" s="6"/>
    </row>
    <row r="115" spans="1:1" ht="15" customHeight="1" x14ac:dyDescent="0.15">
      <c r="A115" s="6"/>
    </row>
    <row r="116" spans="1:1" ht="15" customHeight="1" x14ac:dyDescent="0.15">
      <c r="A116" s="6"/>
    </row>
    <row r="117" spans="1:1" ht="15" customHeight="1" x14ac:dyDescent="0.15">
      <c r="A117" s="6"/>
    </row>
    <row r="118" spans="1:1" ht="15" customHeight="1" x14ac:dyDescent="0.15">
      <c r="A118" s="6"/>
    </row>
    <row r="119" spans="1:1" ht="15" customHeight="1" x14ac:dyDescent="0.15">
      <c r="A119" s="6"/>
    </row>
    <row r="120" spans="1:1" ht="15" customHeight="1" x14ac:dyDescent="0.15">
      <c r="A120" s="6"/>
    </row>
    <row r="121" spans="1:1" ht="15" customHeight="1" x14ac:dyDescent="0.15">
      <c r="A121" s="6"/>
    </row>
    <row r="122" spans="1:1" ht="15" customHeight="1" x14ac:dyDescent="0.15">
      <c r="A122" s="6"/>
    </row>
    <row r="123" spans="1:1" ht="15" customHeight="1" x14ac:dyDescent="0.15">
      <c r="A123" s="6"/>
    </row>
    <row r="124" spans="1:1" ht="15" customHeight="1" x14ac:dyDescent="0.15">
      <c r="A124" s="6"/>
    </row>
    <row r="125" spans="1:1" ht="15" customHeight="1" x14ac:dyDescent="0.15">
      <c r="A125" s="6"/>
    </row>
    <row r="126" spans="1:1" ht="15" customHeight="1" x14ac:dyDescent="0.15">
      <c r="A126" s="6"/>
    </row>
    <row r="127" spans="1:1" ht="15" customHeight="1" x14ac:dyDescent="0.15">
      <c r="A127" s="6"/>
    </row>
    <row r="128" spans="1:1" ht="15" customHeight="1" x14ac:dyDescent="0.15">
      <c r="A128" s="6"/>
    </row>
    <row r="129" spans="1:1" ht="15" customHeight="1" x14ac:dyDescent="0.15">
      <c r="A129" s="6"/>
    </row>
    <row r="130" spans="1:1" ht="15" customHeight="1" x14ac:dyDescent="0.15">
      <c r="A130" s="6"/>
    </row>
    <row r="131" spans="1:1" ht="15" customHeight="1" x14ac:dyDescent="0.15">
      <c r="A131" s="6"/>
    </row>
    <row r="132" spans="1:1" ht="15" customHeight="1" x14ac:dyDescent="0.15">
      <c r="A132" s="6"/>
    </row>
    <row r="133" spans="1:1" ht="15" customHeight="1" x14ac:dyDescent="0.15">
      <c r="A133" s="6"/>
    </row>
    <row r="134" spans="1:1" ht="15" customHeight="1" x14ac:dyDescent="0.15">
      <c r="A134" s="6"/>
    </row>
    <row r="135" spans="1:1" ht="15" customHeight="1" x14ac:dyDescent="0.15">
      <c r="A135" s="6"/>
    </row>
    <row r="136" spans="1:1" ht="15" customHeight="1" x14ac:dyDescent="0.15">
      <c r="A136" s="6"/>
    </row>
    <row r="137" spans="1:1" ht="15" customHeight="1" x14ac:dyDescent="0.15">
      <c r="A137" s="6"/>
    </row>
    <row r="138" spans="1:1" ht="15" customHeight="1" x14ac:dyDescent="0.15">
      <c r="A138" s="6"/>
    </row>
    <row r="139" spans="1:1" ht="15" customHeight="1" x14ac:dyDescent="0.15">
      <c r="A139" s="6"/>
    </row>
    <row r="140" spans="1:1" ht="15" customHeight="1" x14ac:dyDescent="0.15">
      <c r="A140" s="6"/>
    </row>
    <row r="141" spans="1:1" ht="15" customHeight="1" x14ac:dyDescent="0.15">
      <c r="A141" s="6"/>
    </row>
    <row r="142" spans="1:1" ht="15" customHeight="1" x14ac:dyDescent="0.15">
      <c r="A142" s="6"/>
    </row>
    <row r="143" spans="1:1" ht="15" customHeight="1" x14ac:dyDescent="0.15">
      <c r="A143" s="6"/>
    </row>
    <row r="144" spans="1:1" ht="15" customHeight="1" x14ac:dyDescent="0.15">
      <c r="A144" s="6"/>
    </row>
    <row r="145" spans="1:1" ht="15" customHeight="1" x14ac:dyDescent="0.15">
      <c r="A145" s="6"/>
    </row>
    <row r="146" spans="1:1" ht="15" customHeight="1" x14ac:dyDescent="0.15">
      <c r="A146" s="6"/>
    </row>
    <row r="147" spans="1:1" ht="15" customHeight="1" x14ac:dyDescent="0.15">
      <c r="A147" s="6"/>
    </row>
    <row r="148" spans="1:1" ht="15" customHeight="1" x14ac:dyDescent="0.15">
      <c r="A148" s="6"/>
    </row>
    <row r="149" spans="1:1" ht="15" customHeight="1" x14ac:dyDescent="0.15">
      <c r="A149" s="6"/>
    </row>
    <row r="150" spans="1:1" ht="15" customHeight="1" x14ac:dyDescent="0.15">
      <c r="A150" s="6"/>
    </row>
    <row r="151" spans="1:1" ht="15" customHeight="1" x14ac:dyDescent="0.15">
      <c r="A151" s="6"/>
    </row>
    <row r="152" spans="1:1" ht="15" customHeight="1" x14ac:dyDescent="0.15">
      <c r="A152" s="6"/>
    </row>
    <row r="153" spans="1:1" ht="15" customHeight="1" x14ac:dyDescent="0.15">
      <c r="A153" s="6"/>
    </row>
    <row r="154" spans="1:1" ht="15" customHeight="1" x14ac:dyDescent="0.15">
      <c r="A154" s="6"/>
    </row>
    <row r="155" spans="1:1" ht="15" customHeight="1" x14ac:dyDescent="0.15">
      <c r="A155" s="6"/>
    </row>
    <row r="156" spans="1:1" ht="15" customHeight="1" x14ac:dyDescent="0.15">
      <c r="A156" s="6"/>
    </row>
    <row r="157" spans="1:1" ht="15" customHeight="1" x14ac:dyDescent="0.15">
      <c r="A157" s="6"/>
    </row>
    <row r="158" spans="1:1" ht="15" customHeight="1" x14ac:dyDescent="0.15">
      <c r="A158" s="6"/>
    </row>
    <row r="159" spans="1:1" ht="15" customHeight="1" x14ac:dyDescent="0.15">
      <c r="A159" s="6"/>
    </row>
    <row r="160" spans="1:1" ht="15" customHeight="1" x14ac:dyDescent="0.15">
      <c r="A160" s="6"/>
    </row>
    <row r="161" spans="1:1" ht="15" customHeight="1" x14ac:dyDescent="0.15">
      <c r="A161" s="6"/>
    </row>
    <row r="162" spans="1:1" ht="15" customHeight="1" x14ac:dyDescent="0.15">
      <c r="A162" s="6"/>
    </row>
    <row r="163" spans="1:1" ht="15" customHeight="1" x14ac:dyDescent="0.15">
      <c r="A163" s="6"/>
    </row>
    <row r="164" spans="1:1" ht="15" customHeight="1" x14ac:dyDescent="0.15">
      <c r="A164" s="6"/>
    </row>
    <row r="165" spans="1:1" ht="15" customHeight="1" x14ac:dyDescent="0.15">
      <c r="A165" s="6"/>
    </row>
    <row r="166" spans="1:1" ht="15" customHeight="1" x14ac:dyDescent="0.15">
      <c r="A166" s="6"/>
    </row>
    <row r="167" spans="1:1" ht="15" customHeight="1" x14ac:dyDescent="0.15">
      <c r="A167" s="6"/>
    </row>
    <row r="168" spans="1:1" ht="15" customHeight="1" x14ac:dyDescent="0.15">
      <c r="A168" s="6"/>
    </row>
    <row r="169" spans="1:1" ht="15" customHeight="1" x14ac:dyDescent="0.15">
      <c r="A169" s="6"/>
    </row>
    <row r="170" spans="1:1" ht="15" customHeight="1" x14ac:dyDescent="0.15">
      <c r="A170" s="6"/>
    </row>
    <row r="171" spans="1:1" ht="15" customHeight="1" x14ac:dyDescent="0.15">
      <c r="A171" s="6"/>
    </row>
    <row r="172" spans="1:1" ht="15" customHeight="1" x14ac:dyDescent="0.15">
      <c r="A172" s="6"/>
    </row>
    <row r="173" spans="1:1" ht="15" customHeight="1" x14ac:dyDescent="0.15">
      <c r="A173" s="6"/>
    </row>
    <row r="174" spans="1:1" ht="15" customHeight="1" x14ac:dyDescent="0.15">
      <c r="A174" s="6"/>
    </row>
    <row r="175" spans="1:1" ht="15" customHeight="1" x14ac:dyDescent="0.15">
      <c r="A175" s="6"/>
    </row>
    <row r="176" spans="1:1" ht="15" customHeight="1" x14ac:dyDescent="0.15">
      <c r="A176" s="6"/>
    </row>
    <row r="177" spans="1:1" ht="15" customHeight="1" x14ac:dyDescent="0.15">
      <c r="A177" s="6"/>
    </row>
    <row r="178" spans="1:1" ht="15" customHeight="1" x14ac:dyDescent="0.15">
      <c r="A178" s="6"/>
    </row>
    <row r="179" spans="1:1" ht="15" customHeight="1" x14ac:dyDescent="0.15">
      <c r="A179" s="6"/>
    </row>
    <row r="180" spans="1:1" ht="15" customHeight="1" x14ac:dyDescent="0.15">
      <c r="A180" s="6"/>
    </row>
  </sheetData>
  <mergeCells count="3">
    <mergeCell ref="I2:J2"/>
    <mergeCell ref="C2:F2"/>
    <mergeCell ref="Q2:T25"/>
  </mergeCells>
  <phoneticPr fontId="1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生成代码">
                <anchor moveWithCells="1" sizeWithCells="1">
                  <from>
                    <xdr:col>6</xdr:col>
                    <xdr:colOff>114300</xdr:colOff>
                    <xdr:row>1</xdr:row>
                    <xdr:rowOff>104775</xdr:rowOff>
                  </from>
                  <to>
                    <xdr:col>7</xdr:col>
                    <xdr:colOff>323850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输出main">
                <anchor moveWithCells="1" sizeWithCells="1">
                  <from>
                    <xdr:col>6</xdr:col>
                    <xdr:colOff>104775</xdr:colOff>
                    <xdr:row>3</xdr:row>
                    <xdr:rowOff>66675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>
      <selection activeCell="B10" sqref="B10"/>
    </sheetView>
  </sheetViews>
  <sheetFormatPr defaultRowHeight="13.5" x14ac:dyDescent="0.15"/>
  <cols>
    <col min="1" max="1" width="13.5" customWidth="1"/>
    <col min="2" max="2" width="20.25" customWidth="1"/>
    <col min="3" max="3" width="12" customWidth="1"/>
    <col min="4" max="4" width="66.5" customWidth="1"/>
  </cols>
  <sheetData>
    <row r="1" spans="1:4" ht="27.75" customHeight="1" x14ac:dyDescent="0.15">
      <c r="A1" s="27" t="s">
        <v>140</v>
      </c>
      <c r="B1" s="27"/>
      <c r="D1" s="22" t="s">
        <v>97</v>
      </c>
    </row>
    <row r="2" spans="1:4" ht="18.75" customHeight="1" x14ac:dyDescent="0.15">
      <c r="A2" s="27" t="s">
        <v>57</v>
      </c>
      <c r="B2" s="13" t="s">
        <v>51</v>
      </c>
      <c r="D2" s="24" t="s">
        <v>96</v>
      </c>
    </row>
    <row r="3" spans="1:4" ht="18.75" customHeight="1" x14ac:dyDescent="0.15">
      <c r="A3" s="27"/>
      <c r="B3" s="13" t="s">
        <v>52</v>
      </c>
      <c r="D3" s="25"/>
    </row>
    <row r="4" spans="1:4" ht="18.75" customHeight="1" x14ac:dyDescent="0.15">
      <c r="A4" s="27" t="s">
        <v>58</v>
      </c>
      <c r="B4" s="13" t="s">
        <v>53</v>
      </c>
      <c r="D4" s="25"/>
    </row>
    <row r="5" spans="1:4" ht="18.75" customHeight="1" x14ac:dyDescent="0.15">
      <c r="A5" s="27"/>
      <c r="B5" s="13" t="s">
        <v>54</v>
      </c>
      <c r="D5" s="25"/>
    </row>
    <row r="6" spans="1:4" ht="18.75" customHeight="1" x14ac:dyDescent="0.15">
      <c r="A6" s="27" t="s">
        <v>59</v>
      </c>
      <c r="B6" s="13" t="s">
        <v>55</v>
      </c>
      <c r="D6" s="25"/>
    </row>
    <row r="7" spans="1:4" ht="18.75" customHeight="1" x14ac:dyDescent="0.15">
      <c r="A7" s="27"/>
      <c r="B7" s="13" t="s">
        <v>56</v>
      </c>
      <c r="C7" s="20"/>
      <c r="D7" s="25"/>
    </row>
    <row r="8" spans="1:4" ht="18.75" customHeight="1" x14ac:dyDescent="0.15">
      <c r="A8" s="27" t="s">
        <v>60</v>
      </c>
      <c r="B8" s="11" t="s">
        <v>61</v>
      </c>
      <c r="C8" s="20"/>
      <c r="D8" s="25"/>
    </row>
    <row r="9" spans="1:4" ht="18.75" customHeight="1" x14ac:dyDescent="0.15">
      <c r="A9" s="27"/>
      <c r="B9" s="11" t="s">
        <v>62</v>
      </c>
      <c r="C9" s="21"/>
      <c r="D9" s="25"/>
    </row>
    <row r="10" spans="1:4" ht="18.75" customHeight="1" x14ac:dyDescent="0.15">
      <c r="A10" s="27"/>
      <c r="B10" s="13" t="s">
        <v>69</v>
      </c>
      <c r="C10" s="21"/>
      <c r="D10" s="25"/>
    </row>
    <row r="11" spans="1:4" x14ac:dyDescent="0.15">
      <c r="C11" s="20"/>
      <c r="D11" s="25"/>
    </row>
    <row r="12" spans="1:4" x14ac:dyDescent="0.15">
      <c r="C12" s="20"/>
      <c r="D12" s="25"/>
    </row>
    <row r="13" spans="1:4" x14ac:dyDescent="0.15">
      <c r="C13" s="20"/>
      <c r="D13" s="25"/>
    </row>
    <row r="14" spans="1:4" x14ac:dyDescent="0.15">
      <c r="C14" s="20"/>
      <c r="D14" s="25"/>
    </row>
    <row r="15" spans="1:4" x14ac:dyDescent="0.15">
      <c r="D15" s="25"/>
    </row>
    <row r="16" spans="1:4" x14ac:dyDescent="0.15">
      <c r="D16" s="25"/>
    </row>
    <row r="17" spans="4:4" x14ac:dyDescent="0.15">
      <c r="D17" s="25"/>
    </row>
    <row r="18" spans="4:4" x14ac:dyDescent="0.15">
      <c r="D18" s="25"/>
    </row>
    <row r="19" spans="4:4" x14ac:dyDescent="0.15">
      <c r="D19" s="26"/>
    </row>
  </sheetData>
  <mergeCells count="6">
    <mergeCell ref="D2:D19"/>
    <mergeCell ref="A2:A3"/>
    <mergeCell ref="A4:A5"/>
    <mergeCell ref="A6:A7"/>
    <mergeCell ref="A1:B1"/>
    <mergeCell ref="A8:A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1"/>
  <sheetViews>
    <sheetView workbookViewId="0">
      <selection activeCell="G22" sqref="G22"/>
    </sheetView>
  </sheetViews>
  <sheetFormatPr defaultRowHeight="13.5" x14ac:dyDescent="0.15"/>
  <cols>
    <col min="1" max="1" width="22" customWidth="1"/>
  </cols>
  <sheetData>
    <row r="1" spans="1:5" x14ac:dyDescent="0.15">
      <c r="A1" t="s">
        <v>98</v>
      </c>
      <c r="B1" t="s">
        <v>99</v>
      </c>
      <c r="C1" t="s">
        <v>100</v>
      </c>
      <c r="E1" t="s">
        <v>101</v>
      </c>
    </row>
    <row r="2" spans="1:5" x14ac:dyDescent="0.15">
      <c r="A2" t="s">
        <v>102</v>
      </c>
      <c r="B2" t="s">
        <v>103</v>
      </c>
      <c r="C2" t="s">
        <v>104</v>
      </c>
      <c r="D2">
        <v>20</v>
      </c>
      <c r="E2" t="s">
        <v>105</v>
      </c>
    </row>
    <row r="3" spans="1:5" x14ac:dyDescent="0.15">
      <c r="A3" t="s">
        <v>106</v>
      </c>
      <c r="B3" t="s">
        <v>107</v>
      </c>
      <c r="C3" t="s">
        <v>107</v>
      </c>
      <c r="E3" t="s">
        <v>105</v>
      </c>
    </row>
    <row r="4" spans="1:5" x14ac:dyDescent="0.15">
      <c r="A4" t="s">
        <v>2</v>
      </c>
      <c r="B4" t="s">
        <v>103</v>
      </c>
      <c r="C4" t="s">
        <v>108</v>
      </c>
      <c r="D4">
        <v>100</v>
      </c>
      <c r="E4" t="s">
        <v>105</v>
      </c>
    </row>
    <row r="5" spans="1:5" x14ac:dyDescent="0.15">
      <c r="A5" t="s">
        <v>109</v>
      </c>
      <c r="B5" t="s">
        <v>110</v>
      </c>
      <c r="C5" t="s">
        <v>110</v>
      </c>
      <c r="E5" t="s">
        <v>105</v>
      </c>
    </row>
    <row r="6" spans="1:5" x14ac:dyDescent="0.15">
      <c r="A6" t="s">
        <v>111</v>
      </c>
      <c r="B6" t="s">
        <v>103</v>
      </c>
      <c r="C6" t="s">
        <v>112</v>
      </c>
      <c r="D6">
        <v>15</v>
      </c>
      <c r="E6" t="s">
        <v>105</v>
      </c>
    </row>
    <row r="7" spans="1:5" x14ac:dyDescent="0.15">
      <c r="A7" t="s">
        <v>113</v>
      </c>
      <c r="B7" t="s">
        <v>107</v>
      </c>
      <c r="C7" t="s">
        <v>107</v>
      </c>
      <c r="E7" t="s">
        <v>105</v>
      </c>
    </row>
    <row r="8" spans="1:5" x14ac:dyDescent="0.15">
      <c r="A8" t="s">
        <v>114</v>
      </c>
      <c r="B8" t="s">
        <v>107</v>
      </c>
      <c r="C8" t="s">
        <v>107</v>
      </c>
      <c r="E8" t="s">
        <v>105</v>
      </c>
    </row>
    <row r="9" spans="1:5" x14ac:dyDescent="0.15">
      <c r="A9" t="s">
        <v>115</v>
      </c>
      <c r="B9" t="s">
        <v>99</v>
      </c>
      <c r="C9" t="s">
        <v>100</v>
      </c>
      <c r="E9" t="s">
        <v>105</v>
      </c>
    </row>
    <row r="10" spans="1:5" x14ac:dyDescent="0.15">
      <c r="A10" t="s">
        <v>116</v>
      </c>
      <c r="B10" t="s">
        <v>103</v>
      </c>
      <c r="C10" t="s">
        <v>104</v>
      </c>
      <c r="D10">
        <v>20</v>
      </c>
      <c r="E10" t="s">
        <v>105</v>
      </c>
    </row>
    <row r="11" spans="1:5" x14ac:dyDescent="0.15">
      <c r="A11" t="s">
        <v>117</v>
      </c>
      <c r="B11" t="s">
        <v>103</v>
      </c>
      <c r="C11" t="s">
        <v>112</v>
      </c>
      <c r="D11">
        <v>15</v>
      </c>
      <c r="E11" t="s">
        <v>105</v>
      </c>
    </row>
    <row r="12" spans="1:5" x14ac:dyDescent="0.15">
      <c r="A12" t="s">
        <v>118</v>
      </c>
      <c r="B12" t="s">
        <v>103</v>
      </c>
      <c r="C12" t="s">
        <v>104</v>
      </c>
      <c r="D12">
        <v>20</v>
      </c>
      <c r="E12" t="s">
        <v>105</v>
      </c>
    </row>
    <row r="13" spans="1:5" x14ac:dyDescent="0.15">
      <c r="A13" t="s">
        <v>119</v>
      </c>
      <c r="B13" t="s">
        <v>103</v>
      </c>
      <c r="C13" t="s">
        <v>104</v>
      </c>
      <c r="D13">
        <v>20</v>
      </c>
      <c r="E13" t="s">
        <v>105</v>
      </c>
    </row>
    <row r="14" spans="1:5" x14ac:dyDescent="0.15">
      <c r="A14" t="s">
        <v>120</v>
      </c>
      <c r="B14" t="s">
        <v>103</v>
      </c>
      <c r="C14" t="s">
        <v>112</v>
      </c>
      <c r="D14">
        <v>15</v>
      </c>
      <c r="E14" t="s">
        <v>105</v>
      </c>
    </row>
    <row r="15" spans="1:5" x14ac:dyDescent="0.15">
      <c r="A15" t="s">
        <v>121</v>
      </c>
      <c r="B15" t="s">
        <v>99</v>
      </c>
      <c r="C15" t="s">
        <v>100</v>
      </c>
      <c r="E15" t="s">
        <v>105</v>
      </c>
    </row>
    <row r="16" spans="1:5" x14ac:dyDescent="0.15">
      <c r="A16" t="s">
        <v>122</v>
      </c>
      <c r="B16" t="s">
        <v>110</v>
      </c>
      <c r="C16" t="s">
        <v>110</v>
      </c>
      <c r="E16" t="s">
        <v>105</v>
      </c>
    </row>
    <row r="17" spans="1:5" x14ac:dyDescent="0.15">
      <c r="A17" t="s">
        <v>123</v>
      </c>
      <c r="B17" t="s">
        <v>110</v>
      </c>
      <c r="C17" t="s">
        <v>110</v>
      </c>
      <c r="E17" t="s">
        <v>105</v>
      </c>
    </row>
    <row r="18" spans="1:5" x14ac:dyDescent="0.15">
      <c r="A18" t="s">
        <v>124</v>
      </c>
      <c r="B18" t="s">
        <v>110</v>
      </c>
      <c r="C18" t="s">
        <v>110</v>
      </c>
      <c r="E18" t="s">
        <v>105</v>
      </c>
    </row>
    <row r="19" spans="1:5" x14ac:dyDescent="0.15">
      <c r="A19" t="s">
        <v>3</v>
      </c>
      <c r="B19" t="s">
        <v>110</v>
      </c>
      <c r="C19" t="s">
        <v>110</v>
      </c>
      <c r="E19" t="s">
        <v>105</v>
      </c>
    </row>
    <row r="20" spans="1:5" x14ac:dyDescent="0.15">
      <c r="A20" t="s">
        <v>125</v>
      </c>
      <c r="B20" t="s">
        <v>110</v>
      </c>
      <c r="C20" t="s">
        <v>110</v>
      </c>
      <c r="E20" t="s">
        <v>105</v>
      </c>
    </row>
    <row r="21" spans="1:5" x14ac:dyDescent="0.15">
      <c r="A21" t="s">
        <v>126</v>
      </c>
      <c r="B21" t="s">
        <v>110</v>
      </c>
      <c r="C21" t="s">
        <v>110</v>
      </c>
      <c r="E21" t="s">
        <v>105</v>
      </c>
    </row>
    <row r="22" spans="1:5" x14ac:dyDescent="0.15">
      <c r="A22" t="s">
        <v>127</v>
      </c>
      <c r="B22" t="s">
        <v>110</v>
      </c>
      <c r="C22" t="s">
        <v>110</v>
      </c>
      <c r="E22" t="s">
        <v>105</v>
      </c>
    </row>
    <row r="23" spans="1:5" x14ac:dyDescent="0.15">
      <c r="A23" t="s">
        <v>128</v>
      </c>
      <c r="B23" t="s">
        <v>110</v>
      </c>
      <c r="C23" t="s">
        <v>110</v>
      </c>
      <c r="E23" t="s">
        <v>105</v>
      </c>
    </row>
    <row r="24" spans="1:5" x14ac:dyDescent="0.15">
      <c r="A24" t="s">
        <v>129</v>
      </c>
      <c r="B24" t="s">
        <v>110</v>
      </c>
      <c r="C24" t="s">
        <v>110</v>
      </c>
      <c r="E24" t="s">
        <v>105</v>
      </c>
    </row>
    <row r="25" spans="1:5" x14ac:dyDescent="0.15">
      <c r="A25" t="s">
        <v>130</v>
      </c>
      <c r="B25" t="s">
        <v>110</v>
      </c>
      <c r="C25" t="s">
        <v>110</v>
      </c>
      <c r="E25" t="s">
        <v>105</v>
      </c>
    </row>
    <row r="26" spans="1:5" x14ac:dyDescent="0.15">
      <c r="A26" t="s">
        <v>131</v>
      </c>
      <c r="B26" t="s">
        <v>110</v>
      </c>
      <c r="C26" t="s">
        <v>110</v>
      </c>
      <c r="E26" t="s">
        <v>105</v>
      </c>
    </row>
    <row r="27" spans="1:5" x14ac:dyDescent="0.15">
      <c r="A27" t="s">
        <v>132</v>
      </c>
      <c r="B27" t="s">
        <v>110</v>
      </c>
      <c r="C27" t="s">
        <v>110</v>
      </c>
      <c r="E27" t="s">
        <v>105</v>
      </c>
    </row>
    <row r="28" spans="1:5" x14ac:dyDescent="0.15">
      <c r="A28" t="s">
        <v>133</v>
      </c>
      <c r="B28" t="s">
        <v>110</v>
      </c>
      <c r="C28" t="s">
        <v>110</v>
      </c>
      <c r="E28" t="s">
        <v>105</v>
      </c>
    </row>
    <row r="29" spans="1:5" x14ac:dyDescent="0.15">
      <c r="A29" t="s">
        <v>134</v>
      </c>
      <c r="B29" t="s">
        <v>99</v>
      </c>
      <c r="C29" t="s">
        <v>100</v>
      </c>
      <c r="E29" t="s">
        <v>105</v>
      </c>
    </row>
    <row r="30" spans="1:5" x14ac:dyDescent="0.15">
      <c r="A30" t="s">
        <v>135</v>
      </c>
      <c r="B30" t="s">
        <v>103</v>
      </c>
      <c r="C30" t="s">
        <v>112</v>
      </c>
      <c r="D30">
        <v>15</v>
      </c>
      <c r="E30" t="s">
        <v>105</v>
      </c>
    </row>
    <row r="31" spans="1:5" x14ac:dyDescent="0.15">
      <c r="A31" t="s">
        <v>136</v>
      </c>
      <c r="B31" t="s">
        <v>107</v>
      </c>
      <c r="C31" t="s">
        <v>107</v>
      </c>
      <c r="E31" t="s">
        <v>105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China</cp:lastModifiedBy>
  <dcterms:created xsi:type="dcterms:W3CDTF">2006-09-16T00:00:00Z</dcterms:created>
  <dcterms:modified xsi:type="dcterms:W3CDTF">2018-01-04T10:07:29Z</dcterms:modified>
</cp:coreProperties>
</file>