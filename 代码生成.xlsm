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N42" i="1" l="1"/>
  <c r="O42" i="1"/>
  <c r="N40" i="1"/>
  <c r="O40" i="1"/>
  <c r="N41" i="1"/>
  <c r="O41" i="1"/>
  <c r="N39" i="1"/>
  <c r="O39" i="1"/>
  <c r="N38" i="1"/>
  <c r="O38" i="1"/>
  <c r="N37" i="1"/>
  <c r="O37" i="1"/>
  <c r="G3" i="1" l="1"/>
  <c r="N36" i="1"/>
  <c r="O36" i="1"/>
  <c r="N35" i="1" l="1"/>
  <c r="O35" i="1"/>
  <c r="N34" i="1" l="1"/>
  <c r="O34" i="1"/>
  <c r="N33" i="1"/>
  <c r="O33" i="1"/>
  <c r="N32" i="1"/>
  <c r="O32" i="1"/>
  <c r="N31" i="1"/>
  <c r="O31" i="1"/>
  <c r="N30" i="1" l="1"/>
  <c r="O30" i="1"/>
  <c r="N29" i="1" l="1"/>
  <c r="O29" i="1"/>
  <c r="O27" i="1"/>
  <c r="O28" i="1"/>
  <c r="N27" i="1"/>
  <c r="N28" i="1"/>
  <c r="N26" i="1"/>
  <c r="O26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J6" i="1" l="1"/>
  <c r="O4" i="1"/>
  <c r="O3" i="1"/>
  <c r="N4" i="1"/>
  <c r="N3" i="1"/>
  <c r="J7" i="1"/>
</calcChain>
</file>

<file path=xl/sharedStrings.xml><?xml version="1.0" encoding="utf-8"?>
<sst xmlns="http://schemas.openxmlformats.org/spreadsheetml/2006/main" count="354" uniqueCount="214">
  <si>
    <t>代码生成器</t>
    <phoneticPr fontId="1" type="noConversion"/>
  </si>
  <si>
    <t>约束</t>
    <phoneticPr fontId="1" type="noConversion"/>
  </si>
  <si>
    <t>contract_addr</t>
  </si>
  <si>
    <t>rebate</t>
  </si>
  <si>
    <t>&lt;?xml version="1.0" encoding="UTF-8" ?&gt;  
&lt;!DOCTYPE mapper PUBLIC "-//ibatis.apache.org//DTD Mapper 3.0//EN"      
 "http://ibatis.apache.org/dtd/ibatis-3-mapper.dtd"&gt;</t>
    <phoneticPr fontId="1" type="noConversion"/>
  </si>
  <si>
    <t>工具区</t>
    <phoneticPr fontId="1" type="noConversion"/>
  </si>
  <si>
    <t>dtd</t>
    <phoneticPr fontId="1" type="noConversion"/>
  </si>
  <si>
    <t xml:space="preserve">    &lt;/foreach&gt;</t>
    <phoneticPr fontId="1" type="noConversion"/>
  </si>
  <si>
    <t>foreach_head</t>
    <phoneticPr fontId="1" type="noConversion"/>
  </si>
  <si>
    <t>foreach_end</t>
    <phoneticPr fontId="1" type="noConversion"/>
  </si>
  <si>
    <t>insert_head</t>
    <phoneticPr fontId="1" type="noConversion"/>
  </si>
  <si>
    <t>insert_end</t>
    <phoneticPr fontId="1" type="noConversion"/>
  </si>
  <si>
    <t>insert_msg</t>
    <phoneticPr fontId="1" type="noConversion"/>
  </si>
  <si>
    <t>delete_head</t>
    <phoneticPr fontId="1" type="noConversion"/>
  </si>
  <si>
    <t>delete_end</t>
    <phoneticPr fontId="1" type="noConversion"/>
  </si>
  <si>
    <t>delete_msg</t>
    <phoneticPr fontId="1" type="noConversion"/>
  </si>
  <si>
    <t>update_head</t>
    <phoneticPr fontId="1" type="noConversion"/>
  </si>
  <si>
    <t>update_end</t>
    <phoneticPr fontId="1" type="noConversion"/>
  </si>
  <si>
    <t>update_msg</t>
    <phoneticPr fontId="1" type="noConversion"/>
  </si>
  <si>
    <t xml:space="preserve">    &lt;/insert&gt;</t>
    <phoneticPr fontId="1" type="noConversion"/>
  </si>
  <si>
    <t xml:space="preserve">    &lt;delete id="name" parameterType="int"&gt;</t>
    <phoneticPr fontId="1" type="noConversion"/>
  </si>
  <si>
    <t xml:space="preserve">    &lt;/delete&gt;</t>
    <phoneticPr fontId="1" type="noConversion"/>
  </si>
  <si>
    <t xml:space="preserve">    &lt;/update&gt;</t>
    <phoneticPr fontId="1" type="noConversion"/>
  </si>
  <si>
    <t>namespace</t>
    <phoneticPr fontId="1" type="noConversion"/>
  </si>
  <si>
    <t>pakge</t>
    <phoneticPr fontId="1" type="noConversion"/>
  </si>
  <si>
    <t xml:space="preserve"> Variant</t>
    <phoneticPr fontId="1" type="noConversion"/>
  </si>
  <si>
    <t xml:space="preserve">public </t>
    <phoneticPr fontId="1" type="noConversion"/>
  </si>
  <si>
    <t xml:space="preserve"> As</t>
    <phoneticPr fontId="1" type="noConversion"/>
  </si>
  <si>
    <t>case "</t>
    <phoneticPr fontId="1" type="noConversion"/>
  </si>
  <si>
    <t>=temp</t>
    <phoneticPr fontId="1" type="noConversion"/>
  </si>
  <si>
    <t xml:space="preserve">"    </t>
    <phoneticPr fontId="1" type="noConversion"/>
  </si>
  <si>
    <t>select_head</t>
    <phoneticPr fontId="1" type="noConversion"/>
  </si>
  <si>
    <t>select_end</t>
    <phoneticPr fontId="1" type="noConversion"/>
  </si>
  <si>
    <t>select_msg</t>
    <phoneticPr fontId="1" type="noConversion"/>
  </si>
  <si>
    <t xml:space="preserve">    &lt;update id="name" parameterType="entity"&gt;</t>
    <phoneticPr fontId="1" type="noConversion"/>
  </si>
  <si>
    <t>if_head</t>
    <phoneticPr fontId="1" type="noConversion"/>
  </si>
  <si>
    <t>if_end</t>
    <phoneticPr fontId="1" type="noConversion"/>
  </si>
  <si>
    <t>sql_head</t>
    <phoneticPr fontId="1" type="noConversion"/>
  </si>
  <si>
    <t>sql_end</t>
    <phoneticPr fontId="1" type="noConversion"/>
  </si>
  <si>
    <t xml:space="preserve">    &lt;/select&gt;</t>
    <phoneticPr fontId="1" type="noConversion"/>
  </si>
  <si>
    <t xml:space="preserve">    &lt;/if&gt;</t>
    <phoneticPr fontId="1" type="noConversion"/>
  </si>
  <si>
    <t xml:space="preserve">    &lt;sql id="sqlid"&gt;</t>
    <phoneticPr fontId="1" type="noConversion"/>
  </si>
  <si>
    <t xml:space="preserve">&lt;mapper namespace="dao.AAA" &gt; </t>
    <phoneticPr fontId="1" type="noConversion"/>
  </si>
  <si>
    <t>entity</t>
    <phoneticPr fontId="1" type="noConversion"/>
  </si>
  <si>
    <t xml:space="preserve">    &lt;insert id="name" parameterType="entity"&gt;</t>
    <phoneticPr fontId="1" type="noConversion"/>
  </si>
  <si>
    <t>namespace_end</t>
    <phoneticPr fontId="1" type="noConversion"/>
  </si>
  <si>
    <t xml:space="preserve">&lt;/mapper&gt; </t>
    <phoneticPr fontId="1" type="noConversion"/>
  </si>
  <si>
    <t>单加</t>
    <phoneticPr fontId="1" type="noConversion"/>
  </si>
  <si>
    <t>群加</t>
    <phoneticPr fontId="1" type="noConversion"/>
  </si>
  <si>
    <t>单删</t>
    <phoneticPr fontId="1" type="noConversion"/>
  </si>
  <si>
    <t>群删</t>
    <phoneticPr fontId="1" type="noConversion"/>
  </si>
  <si>
    <t>单改</t>
    <phoneticPr fontId="1" type="noConversion"/>
  </si>
  <si>
    <t>群改</t>
    <phoneticPr fontId="1" type="noConversion"/>
  </si>
  <si>
    <t>增</t>
    <phoneticPr fontId="1" type="noConversion"/>
  </si>
  <si>
    <t>删</t>
    <phoneticPr fontId="1" type="noConversion"/>
  </si>
  <si>
    <t>改</t>
    <phoneticPr fontId="1" type="noConversion"/>
  </si>
  <si>
    <t>查</t>
    <phoneticPr fontId="1" type="noConversion"/>
  </si>
  <si>
    <t>id单查</t>
    <phoneticPr fontId="1" type="noConversion"/>
  </si>
  <si>
    <t>自由条件分页全查</t>
    <phoneticPr fontId="1" type="noConversion"/>
  </si>
  <si>
    <t xml:space="preserve">    &lt;foreach collection="list" item="item" index="index" open="openo" separator="separators" close="closec" &gt;  </t>
    <phoneticPr fontId="1" type="noConversion"/>
  </si>
  <si>
    <t>set_full</t>
    <phoneticPr fontId="1" type="noConversion"/>
  </si>
  <si>
    <t xml:space="preserve">    &lt;/sql&gt;</t>
    <phoneticPr fontId="1" type="noConversion"/>
  </si>
  <si>
    <t xml:space="preserve">    &lt;set&gt; message &lt;/set&gt;</t>
    <phoneticPr fontId="1" type="noConversion"/>
  </si>
  <si>
    <t>符合条件数据总数</t>
    <phoneticPr fontId="1" type="noConversion"/>
  </si>
  <si>
    <t xml:space="preserve">    &lt;if test= " para !=null and  para!='' " &gt;</t>
    <phoneticPr fontId="1" type="noConversion"/>
  </si>
  <si>
    <t>cdata_a</t>
    <phoneticPr fontId="1" type="noConversion"/>
  </si>
  <si>
    <t>like_full</t>
    <phoneticPr fontId="1" type="noConversion"/>
  </si>
  <si>
    <t>include_full</t>
    <phoneticPr fontId="1" type="noConversion"/>
  </si>
  <si>
    <t xml:space="preserve">    &lt;select id="selectid" parameterType="paratype" resultType="entity_result"&gt;</t>
    <phoneticPr fontId="1" type="noConversion"/>
  </si>
  <si>
    <t xml:space="preserve">    &lt;include refid="include_id"/&gt;</t>
    <phoneticPr fontId="1" type="noConversion"/>
  </si>
  <si>
    <t>cdata_b</t>
    <phoneticPr fontId="1" type="noConversion"/>
  </si>
  <si>
    <t>xml</t>
    <phoneticPr fontId="1" type="noConversion"/>
  </si>
  <si>
    <t>DAO</t>
    <phoneticPr fontId="1" type="noConversion"/>
  </si>
  <si>
    <t>package dao.pakge;
import java.util.List;
import org.springframework.stereotype.Repository;
import entity.ADO.QueryEntity_name;
import entity.pakge.Entity_name;
@Repository
public interface Entity_nameDAO {
 //增
 public int addEntity_name(Entity_name entity_name);
 public int addEntity_names(List&lt;Entity_name&gt; list);
 //删
 public int delEntity_name(Integer id);
 public int delEntity_names(List&lt;Integer&gt; list);
 //改
 public int updateEntity_name(Entity_name entity_name);
 public int updateEntity_names(List&lt;Entity_name&gt; List);
 //查
 public Entity_name findEntity_nameById(Integer id);
 public List&lt;Entity_name&gt; findEntity_nameByPage(QueryEntity_name queryEntity_name);
 public int countEntity_nameByPage(QueryEntity_name queryEntity_name);
}</t>
    <phoneticPr fontId="1" type="noConversion"/>
  </si>
  <si>
    <t>date_formate</t>
    <phoneticPr fontId="1" type="noConversion"/>
  </si>
  <si>
    <t>class_entity</t>
    <phoneticPr fontId="1" type="noConversion"/>
  </si>
  <si>
    <t>date_msg</t>
    <phoneticPr fontId="1" type="noConversion"/>
  </si>
  <si>
    <t>package entity.pakge;
date_msg
import java.io.Serializable;
public class entity_name implements Serializable{</t>
    <phoneticPr fontId="1" type="noConversion"/>
  </si>
  <si>
    <t>import java.util.Date;
import org.springframework.format.annotation.DateTimeFormat;</t>
    <phoneticPr fontId="1" type="noConversion"/>
  </si>
  <si>
    <t xml:space="preserve">    @DateTimeFormat(pattern="yyyy-MM-dd")</t>
    <phoneticPr fontId="1" type="noConversion"/>
  </si>
  <si>
    <t>entity</t>
    <phoneticPr fontId="1" type="noConversion"/>
  </si>
  <si>
    <t>ADO</t>
    <phoneticPr fontId="1" type="noConversion"/>
  </si>
  <si>
    <t>实体名(*)</t>
    <phoneticPr fontId="1" type="noConversion"/>
  </si>
  <si>
    <t>包名(*)</t>
    <phoneticPr fontId="1" type="noConversion"/>
  </si>
  <si>
    <t>列名（*）</t>
    <phoneticPr fontId="1" type="noConversion"/>
  </si>
  <si>
    <t>类型（*）</t>
    <phoneticPr fontId="1" type="noConversion"/>
  </si>
  <si>
    <t>如何导出数据库表结构数据</t>
    <phoneticPr fontId="1" type="noConversion"/>
  </si>
  <si>
    <t>id</t>
  </si>
  <si>
    <t>int</t>
  </si>
  <si>
    <t>NO</t>
  </si>
  <si>
    <t>varchar</t>
  </si>
  <si>
    <t>YES</t>
  </si>
  <si>
    <t>date</t>
  </si>
  <si>
    <t>double</t>
  </si>
  <si>
    <t>使用说明：
注意：1.不要更改表单结构
   2.不要在U列之前删除或者添加新列（A-T列不要动）
星号项目为必填项目。
 实体名：java的实体类名
 包名：实体类所在包名
 列名：数据库列名
 类型：该列数据类型
*列名与类型获得方法见第二页
生成器可以生成4个文件
mapper，DAO，entity，ADO(辅助查询类)
使用时，数据填写好后，先按“生成代码”，
然后按“生成文件”，会在当前文件夹生成相应文件
mapper，DAO文件 生成后可以直接使用
entity，ADO文件 还需要自己生成 序列号，
get，set方法及toString 方法</t>
    <phoneticPr fontId="1" type="noConversion"/>
  </si>
  <si>
    <t>DAO/mapper 结构</t>
    <phoneticPr fontId="1" type="noConversion"/>
  </si>
  <si>
    <t>添加多种排序功能</t>
    <phoneticPr fontId="1" type="noConversion"/>
  </si>
  <si>
    <t>升序降序</t>
    <phoneticPr fontId="1" type="noConversion"/>
  </si>
  <si>
    <t xml:space="preserve">     and para like concat('%',#{para},'%')</t>
    <phoneticPr fontId="1" type="noConversion"/>
  </si>
  <si>
    <t xml:space="preserve">     select * from table where id=#{id}</t>
    <phoneticPr fontId="1" type="noConversion"/>
  </si>
  <si>
    <t xml:space="preserve">     update tableName set message where id=#{id}</t>
    <phoneticPr fontId="1" type="noConversion"/>
  </si>
  <si>
    <t xml:space="preserve">     insert into tableName values(messages)</t>
    <phoneticPr fontId="1" type="noConversion"/>
  </si>
  <si>
    <t xml:space="preserve">     delete from tableName where id=#{id}</t>
    <phoneticPr fontId="1" type="noConversion"/>
  </si>
  <si>
    <t xml:space="preserve">     &lt;![CDATA[and para1 &gt;=]]&gt;#{para2}</t>
    <phoneticPr fontId="1" type="noConversion"/>
  </si>
  <si>
    <t xml:space="preserve">     &lt;![CDATA[and para1 &lt;=]]&gt;#{para2}</t>
    <phoneticPr fontId="1" type="noConversion"/>
  </si>
  <si>
    <t>修改mapper排版</t>
    <phoneticPr fontId="1" type="noConversion"/>
  </si>
  <si>
    <t>修改排序逻辑,补充id排序，避免分页排序冲突</t>
    <phoneticPr fontId="1" type="noConversion"/>
  </si>
  <si>
    <t>修改ADO分页变量名pagesize</t>
    <phoneticPr fontId="1" type="noConversion"/>
  </si>
  <si>
    <t>ADO添加数字字段比较大小</t>
    <phoneticPr fontId="1" type="noConversion"/>
  </si>
  <si>
    <t>test_java</t>
    <phoneticPr fontId="1" type="noConversion"/>
  </si>
  <si>
    <t>Test</t>
    <phoneticPr fontId="1" type="noConversion"/>
  </si>
  <si>
    <t>增加测试类生成</t>
    <phoneticPr fontId="1" type="noConversion"/>
  </si>
  <si>
    <t xml:space="preserve">SELECT  
  COLUMN_NAME 列名,
  DATA_TYPE 字段类型,   
  COLUMN_KEY 约束, 
  IS_NULLABLE 是否为空,  
  COLUMN_TYPE 数据类型,  
  CHARACTER_MAXIMUM_LENGTH 长度,  
  COLUMN_DEFAULT 默认值,  
  COLUMN_COMMENT 备注
FROM  
 INFORMATION_SCHEMA.COLUMNS  
where  
-- fhwj为数据库名称，到时候只需要修改成你要导出表结构的数据库即可  
table_schema ='fhwj'  
AND  
-- income_table为表名，到时候换成你要导出的表的名称  
-- 如果不写的话，默认会查询出所有表中的数据，这样可能就分不清到底哪些字段是哪张表中的了，所以还是建议写上要导出的表名称  
table_name  = 'mytest'  </t>
    <phoneticPr fontId="1" type="noConversion"/>
  </si>
  <si>
    <t>约束唯一键，字段匹配查询</t>
    <phoneticPr fontId="1" type="noConversion"/>
  </si>
  <si>
    <t>PRI</t>
  </si>
  <si>
    <t>contract_number</t>
  </si>
  <si>
    <t>contract_date</t>
  </si>
  <si>
    <t>UNI</t>
  </si>
  <si>
    <t>contract_area</t>
  </si>
  <si>
    <t>contract_type</t>
  </si>
  <si>
    <t>contract_starttime</t>
  </si>
  <si>
    <t>contract_endtime</t>
  </si>
  <si>
    <t>limit_time</t>
  </si>
  <si>
    <t>customer_name</t>
  </si>
  <si>
    <t>customer_phone</t>
  </si>
  <si>
    <t>designer</t>
  </si>
  <si>
    <t>custodian</t>
  </si>
  <si>
    <t>servicer</t>
  </si>
  <si>
    <t>service_time</t>
  </si>
  <si>
    <t>contract_price</t>
  </si>
  <si>
    <t>contract_total_price</t>
  </si>
  <si>
    <t>management_cost</t>
  </si>
  <si>
    <t>repay</t>
  </si>
  <si>
    <t>first_pay</t>
  </si>
  <si>
    <t>second_pay</t>
  </si>
  <si>
    <t>third_pay</t>
  </si>
  <si>
    <t>last_pay</t>
  </si>
  <si>
    <t>buliding_mterials_second</t>
  </si>
  <si>
    <t>buliding_mterials_third</t>
  </si>
  <si>
    <t>total_pay</t>
  </si>
  <si>
    <t>profit</t>
  </si>
  <si>
    <t>status</t>
  </si>
  <si>
    <t>form_maker</t>
  </si>
  <si>
    <t>last_modify</t>
  </si>
  <si>
    <t>代码优化function</t>
    <phoneticPr fontId="1" type="noConversion"/>
  </si>
  <si>
    <t>空值</t>
    <phoneticPr fontId="1" type="noConversion"/>
  </si>
  <si>
    <t>test_msg</t>
    <phoneticPr fontId="1" type="noConversion"/>
  </si>
  <si>
    <t xml:space="preserve">package pakgeTest;
import java.util.ArrayList;
import java.util.List;
import org.junit.Before;
import org.junit.Test;
import org.springframework.context.ApplicationContext;
import org.springframework.context.support.ClassPathXmlApplicationContext;
import dao.pakge.EntityDAO;
import entity.ADO.QueryEntity;
import entity.pakge.Entity;
public class EntityTest {
    ApplicationContext ac;
    EntityDAO dao;
    @Before
    public void init() {
        ac=new ClassPathXmlApplicationContext("spring-mybatis.xml");
        dao=ac.getBean(EntityDAO.class);
     }
    @Test
    public void addEntityTest() {
        Entity entity_name=new Entity();
        //set_messages
        int a=dao.addEntity(entity_name);
        System.out.println(a);
    }
    @Test
    public void addEntitysTest() {
        List&lt;Entity&gt; list=new ArrayList&lt;Entity&gt;();
        for (int i = 0; i &lt; 10; i++) {
            Entity entity_name=new Entity();
            //set_messages
            list.add(entity_name);
        }
        int a=dao.addEntitys(list);
        System.out.println(a);
    }
    @Test
    public void delEntityTest() {
        int a= dao.delEntity(10);
        System.out.println(a);
    }
    @Test
    public void delEntitysTest() {
        List&lt;Integer&gt; list=new ArrayList&lt;Integer&gt;();
        for (int i = 0; i &lt; 4; i++) {
            list.add(8+i);
        }
        int a= dao.delEntitys(list);
        System.out.println(a); 
    }
    @Test
    public void updateEntityTest() {
        Entity entity_name=dao.findEntityById(3);
        //set_messages2
        int a= dao.updateEntity(entity_name);
        System.out.println(a);
    }
    @Test
    public void updateEntitysTest() {
        List&lt;Entity&gt; list=new ArrayList&lt;Entity&gt;();
        for (int i = 1; i &lt;= 5; i++) {
            Entity entity_name=dao.findEntityById(3+i);
            if(entity_name!=null) {
                //set_messages3
                list.add(entity_name);
            }
        }
        int a= dao.updateEntitys(list);
        System.out.println(a); 
    }
    @Test
    public void findEntityByPage() {
        QueryEntity query=new QueryEntity();
        query.setStartrows(0);
        query.setPagesize(10);
        //set_messages4
        List&lt;Entity&gt; list=dao.findEntityByPage(query);
        int a=dao.countEntityByPage(query);
        System.out.println(list);
        System.out.println(a);
    }
//other
}
</t>
    <phoneticPr fontId="1" type="noConversion"/>
  </si>
  <si>
    <t>collection_date</t>
  </si>
  <si>
    <t>collection_project</t>
  </si>
  <si>
    <t>collection_money</t>
  </si>
  <si>
    <t>get_way</t>
  </si>
  <si>
    <t>payee</t>
  </si>
  <si>
    <t>note</t>
  </si>
  <si>
    <t>表名后缀</t>
    <phoneticPr fontId="1" type="noConversion"/>
  </si>
  <si>
    <t>dept_name</t>
  </si>
  <si>
    <t>emp_name</t>
  </si>
  <si>
    <t>dept_id</t>
  </si>
  <si>
    <t>master_id</t>
  </si>
  <si>
    <t>user_name</t>
  </si>
  <si>
    <t>password</t>
  </si>
  <si>
    <t>spend_project1</t>
  </si>
  <si>
    <t>spend_project2</t>
  </si>
  <si>
    <t>spend_date</t>
  </si>
  <si>
    <t>spend_money</t>
  </si>
  <si>
    <t>spend_way</t>
  </si>
  <si>
    <t>payer</t>
  </si>
  <si>
    <t>mat_getway</t>
  </si>
  <si>
    <t>mat_name</t>
  </si>
  <si>
    <t>mat_factory</t>
  </si>
  <si>
    <t>mat_price</t>
  </si>
  <si>
    <t>mat_budget</t>
  </si>
  <si>
    <t xml:space="preserve">    @Test
    public void finEntityByList_name() {
        Entity entity_name =dao.findEntityByList_name("");
        System.out.println(entity_name);
    }
</t>
    <phoneticPr fontId="1" type="noConversion"/>
  </si>
  <si>
    <t>Material</t>
    <phoneticPr fontId="1" type="noConversion"/>
  </si>
  <si>
    <t>Spend</t>
    <phoneticPr fontId="1" type="noConversion"/>
  </si>
  <si>
    <t>Income</t>
    <phoneticPr fontId="1" type="noConversion"/>
  </si>
  <si>
    <t>Contract</t>
    <phoneticPr fontId="1" type="noConversion"/>
  </si>
  <si>
    <t>service_java</t>
    <phoneticPr fontId="1" type="noConversion"/>
  </si>
  <si>
    <t>service_msg</t>
    <phoneticPr fontId="1" type="noConversion"/>
  </si>
  <si>
    <t>service</t>
    <phoneticPr fontId="1" type="noConversion"/>
  </si>
  <si>
    <t>Dept</t>
    <phoneticPr fontId="1" type="noConversion"/>
  </si>
  <si>
    <t>table</t>
    <phoneticPr fontId="1" type="noConversion"/>
  </si>
  <si>
    <t>set</t>
    <phoneticPr fontId="1" type="noConversion"/>
  </si>
  <si>
    <t>Emp</t>
    <phoneticPr fontId="1" type="noConversion"/>
  </si>
  <si>
    <t>Emp</t>
    <phoneticPr fontId="1" type="noConversion"/>
  </si>
  <si>
    <t>数据库资料</t>
    <phoneticPr fontId="1" type="noConversion"/>
  </si>
  <si>
    <t>set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</si>
  <si>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&lt;mapper namespace="dao.set.EmpDAO" &gt; _x000D_
    &lt;insert id="addEmp" parameterType="entity.set.Emp"&gt;_x000D_
     insert into emp_set values(_x000D_
#{id}_x000D_
,#{emp_name}_x000D_
,#{dept_id}_x000D_
,#{master_id}_x000D_
,#{user_name}_x000D_
,#{password}_x000D_
)_x000D_
    &lt;/insert&gt;_x000D_
    &lt;insert id="addEmps" parameterType="List"&gt;_x000D_
     insert into emp_set values_x000D_
    &lt;foreach collection="list" item="item" index="index" open="" separator="," close="" &gt;  _x000D_
(_x000D_
#{item.id}_x000D_
,#{item.emp_name}_x000D_
,#{item.dept_id}_x000D_
,#{item.master_id}_x000D_
,#{item.user_name}_x000D_
,#{item.password}_x000D_
)_x000D_
    &lt;/foreach&gt;_x000D_
    &lt;/insert&gt;_x000D_
_x000D_
    &lt;delete id="delEmp" parameterType="int"&gt;_x000D_
     delete from emp_set where id=#{id}_x000D_
    &lt;/delete&gt;_x000D_
_x000D_
    &lt;delete id="delEmps" parameterType="List"&gt;_x000D_
     delete from emp_set where id in_x000D_
    &lt;foreach collection="list" item="item" index="index" open="(" separator="," close=")" &gt;  _x000D_
#{item}_x000D_
    &lt;/foreach&gt;_x000D_
_x000D_
    &lt;/delete&gt;_x000D_
_x000D_
_x000D_
    &lt;update id="updateEmp" parameterType="entity.set.Emp"&gt;_x000D_
     update emp_set set _x000D_
emp_name=#{emp_name}_x000D_
,dept_id=#{dept_id}_x000D_
,master_id=#{master_id}_x000D_
,user_name=#{user_name}_x000D_
,password=#{password}_x000D_
 where id=#{id}_x000D_
    &lt;/update&gt;_x000D_
_x000D_
    &lt;update id="updateEmps" parameterType="List"&gt;_x000D_
    &lt;foreach collection="list" item="item" index="index" open="" separator=";" close="" &gt;  _x000D_
update emp_set_x000D_
    &lt;set&gt; _x000D_
emp_name=#{item.emp_name}_x000D_
,dept_id=#{item.dept_id}_x000D_
,master_id=#{item.master_id}_x000D_
,user_name=#{item.user_name}_x000D_
,password=#{item.password}_x000D_
 &lt;/set&gt;_x000D_
where id=#{item.id}_x000D_
    &lt;/foreach&gt;_x000D_
    &lt;/update&gt;_x000D_
_x000D_
_x000D_
    &lt;select id="findEmpById" parameterType="int" resultType="entity.set.Emp"&gt;_x000D_
     select * from emp_set where id=#{id}_x000D_
    &lt;/select&gt;_x000D_
_x000D_
    &lt;select id="findEmpByPage" parameterType="entity.ADO.QueryEmp" resultType="entity.set.Emp"&gt;_x000D_
    &lt;include refid="findEmp"/&gt;_x000D_
       order by _x000D_
    &lt;if test= " orderby !=null and  orderby!='' " &gt;_x000D_
     ${orderby}, _x000D_
    &lt;/if&gt;_x000D_
    &lt;if test= " orderbyDesc !=null and  orderbyDesc!='' " &gt;_x000D_
     ${orderbyDesc} desc, _x000D_
    &lt;/if&gt;_x000D_
       id limit #{startrows},#{pagesize}_x000D_
    &lt;/select&gt;_x000D_
_x000D_
    &lt;sql id="findEmp"&gt;_x000D_
     select * from emp_set where 1=1_x000D_
_x000D_
    &lt;if test= " emp_name !=null and  emp_name!='' " &gt;_x000D_
     and emp_name like concat('%',#{emp_name},'%')_x000D_
    &lt;/if&gt;_x000D_
_x000D_
    &lt;if test= " dept_id !=null and  dept_id!='' " &gt;_x000D_
    &lt;if test= " dept_id_sign !=null and  dept_id_sign!='' " &gt;_x000D_
     and dept_id ${dept_id_sign} #{dept_id}_x000D_
    &lt;/if&gt;_x000D_
    &lt;/if&gt;_x000D_
_x000D_
    &lt;if test= " master_id !=null and  master_id!='' " &gt;_x000D_
    &lt;if test= " master_id_sign !=null and  master_id_sign!='' " &gt;_x000D_
     and master_id ${master_id_sign} #{master_id}_x000D_
    &lt;/if&gt;_x000D_
    &lt;/if&gt;_x000D_
_x000D_
    &lt;if test= " user_name !=null and  user_name!='' " &gt;_x000D_
     and user_name like concat('%',#{user_name},'%')_x000D_
    &lt;/if&gt;_x000D_
_x000D_
    &lt;if test= " password !=null and  password!='' " &gt;_x000D_
     and password like concat('%',#{password},'%')_x000D_
    &lt;/if&gt;_x000D_
    &lt;/sql&gt;_x000D_
_x000D_
    &lt;select id="countEmpByPage" parameterType="entity.ADO.QueryEmp" resultType="int"&gt;_x000D_
      select count(id) from (    &lt;include refid="findEmp"/&gt;) list_x000D_
    &lt;/select&gt;_x000D_
_x000D_
_x000D_
    &lt;select id="findEmpByEmp_name" parameterType="String" resultType="entity.set.Emp"&gt;_x000D_
       select * from emp_set where emp_name=#{emp_name}_x000D_
    &lt;/select&gt;_x000D_
    &lt;select id="findEmpByUser_name" parameterType="String" resultType="entity.set.Emp"&gt;_x000D_
       select * from emp_set where user_name=#{user_name}_x000D_
    &lt;/select&gt;_x000D_
&lt;/mapper&gt; </t>
  </si>
  <si>
    <t>package dao.set;
import java.util.List;
import org.springframework.stereotype.Repository;
import entity.ADO.QueryEmp;
import entity.set.Emp;
@Repository
public interface EmpDAO {
 //增
 public int addEmp(Emp emp);
 public int addEmps(List&lt;Emp&gt; list);
 //删
 public int delEmp(Integer id);
 public int delEmps(List&lt;Integer&gt; list);
 //改
 public int updateEmp(Emp emp);
 public int updateEmps(List&lt;Emp&gt; List);
 //查
 public Emp findEmpById(Integer id);
 public List&lt;Emp&gt; findEmpByPage(QueryEmp queryEmp);
 public int countEmpByPage(QueryEmp queryEmp);
 public Emp findEmpByEmp_name (String emp_name);_x000D_
 public Emp findEmpByUser_name (String user_name);_x000D_
}</t>
    <phoneticPr fontId="1" type="noConversion"/>
  </si>
  <si>
    <t>package entity.set;
import java.io.Serializable;
public class Emp implements Serializable{_x000D_
     private Integer id;_x000D_
     private String emp_name;_x000D_
     private Integer dept_id;_x000D_
     private Integer master_id;_x000D_
     private String user_name;_x000D_
     private String password;_x000D_
}</t>
    <phoneticPr fontId="1" type="noConversion"/>
  </si>
  <si>
    <t>package entity.ADO;
import java.io.Serializable;
public class QueryEmp implements Serializable{_x000D_
     private Integer id;_x000D_
     private String emp_name;_x000D_
     private String dept_id_sign;//判定大小big or small_x000D_
     private Integer dept_id;_x000D_
     private String master_id_sign;//判定大小big or small_x000D_
     private Integer master_id;_x000D_
     private String user_name;_x000D_
     private String password;_x000D_
    private Integer startrows;_x000D_
    private Integer pagesize;_x000D_
    private String orderby;_x000D_
    private String orderbyDesc;_x000D_
_x000D_
}</t>
    <phoneticPr fontId="1" type="noConversion"/>
  </si>
  <si>
    <t xml:space="preserve">package setTest;
import java.util.ArrayList;
import java.util.List;
import org.junit.Before;
import org.junit.Test;
import org.springframework.context.ApplicationContext;
import org.springframework.context.support.ClassPathXmlApplicationContext;
import dao.set.EmpDAO;
import entity.ADO.QueryEmp;
import entity.set.Emp;
public class EmpTest {
    ApplicationContext ac;
    EmpDAO dao;
    @Before
    public void init() {
        ac=new ClassPathXmlApplicationContext("spring-mybatis.xml");
        dao=ac.getBean(EmpDAO.class);
     }
    @Test
    public void addEmpTest() {
        Emp emp=new Emp();
        //set_messages
        int a=dao.addEmp(emp);
        System.out.println(a);
    }
    @Test
    public void addEmpsTest() {
        List&lt;Emp&gt; list=new ArrayList&lt;Emp&gt;();
        for (int i = 0; i &lt; 10; i++) {
            Emp emp=new Emp();
            //set_messages
            list.add(emp);
        }
        int a=dao.addEmps(list);
        System.out.println(a);
    }
    @Test
    public void delEmpTest() {
        int a= dao.delEmp(10);
        System.out.println(a);
    }
    @Test
    public void delEmpsTest() {
        List&lt;Integer&gt; list=new ArrayList&lt;Integer&gt;();
        for (int i = 0; i &lt; 4; i++) {
            list.add(8+i);
        }
        int a= dao.delEmps(list);
        System.out.println(a); 
    }
    @Test
    public void updateEmpTest() {
        Emp emp=dao.findEmpById(3);
        //set_messages2
        int a= dao.updateEmp(emp);
        System.out.println(a);
    }
    @Test
    public void updateEmpsTest() {
        List&lt;Emp&gt; list=new ArrayList&lt;Emp&gt;();
        for (int i = 1; i &lt;= 5; i++) {
            Emp emp=dao.findEmpById(3+i);
            if(emp!=null) {
                //set_messages3
                list.add(emp);
            }
        }
        int a= dao.updateEmps(list);
        System.out.println(a); 
    }
    @Test
    public void findEmpByPage() {
        QueryEmp query=new QueryEmp();
        query.setStartrows(0);
        query.setPagesize(10);
        //set_messages4
        List&lt;Emp&gt; list=dao.findEmpByPage(query);
        int a=dao.countEmpByPage(query);
        System.out.println(list);
        System.out.println(a);
    }
    @Test
    public void finEmpByEmp_name() {
        Emp emp =dao.findEmpByEmp_name("");
        System.out.println(emp);
    }
    @Test
    public void finEmpByUser_name() {
        Emp emp =dao.findEmpByUser_name("");
        System.out.println(emp);
    }
}
</t>
    <phoneticPr fontId="1" type="noConversion"/>
  </si>
  <si>
    <t>service生成</t>
    <phoneticPr fontId="1" type="noConversion"/>
  </si>
  <si>
    <t>一键批量输出</t>
    <phoneticPr fontId="1" type="noConversion"/>
  </si>
  <si>
    <t>优化部分替换代码</t>
    <phoneticPr fontId="1" type="noConversion"/>
  </si>
  <si>
    <t xml:space="preserve">    public Entity findEntityByList_name(para_type list_name) {
        return entity_nameDAO.findEntityByList_name(list_name);
    }</t>
    <phoneticPr fontId="1" type="noConversion"/>
  </si>
  <si>
    <t>controller_java</t>
    <phoneticPr fontId="1" type="noConversion"/>
  </si>
  <si>
    <t xml:space="preserve">package controller.pakge;
import java.util.List;
import java.util.Map;
import javax.annotation.Resource;
import org.springframework.stereotype.Controller;
import org.springframework.web.bind.annotation.RequestMapping;
import org.springframework.web.bind.annotation.ResponseBody;
import entity.ADO.QueryEntity;
import entity.pakge.Entity;
import myutils.JsonResult;
import service.pakge.EntityService;
@Controller
public class EntityController {
    @Resource(name="entity_nameService")
    private EntityService entity_nameService;
    @RequestMapping("entity_name_page_load.do")
    public String entity_name_page_load() {
        return "pakge/entity_name_index";
    }
    @RequestMapping("entity_name_add.do")
    @ResponseBody
    public JsonResult entity_name_add(Entity entity_name) {
        if(entity_name==null) {
            return new JsonResult("保存对象不能为空");
        }
        int result_number=entity_nameService.addEntity(entity_name);
        if(result_number!=1) {
            return new JsonResult("保存失败");
        }
        return new JsonResult("保存成功");
    }
    @RequestMapping("entity_name_adds.do")
    @ResponseBody
    public JsonResult entity_name_adds(List&lt;Entity&gt; list) {
        if(list==null) {
            return new JsonResult("保存对象不能为空");
        }
        int result_number=entity_nameService.addEntitys(list);
        if(result_number&lt;1) {
            return new JsonResult("保存失败");
        }
        return new JsonResult("保存成功");
    }
    @RequestMapping("entity_name_del.do")
    @ResponseBody
    public JsonResult entity_name_del(Integer id) {
        if(id==null) {
            return new JsonResult("删除对象不能为空");
        }
        int result_number=entity_nameService.delEntity(id);
        if(result_number&lt;1) {
            return new JsonResult("保存失败");
        }
        return new JsonResult("保存成功");
    }
    @RequestMapping("entity_name_dels.do")
    @ResponseBody
    public JsonResult entity_name_dels(List&lt;Integer&gt; list) {
        if(list==null) {
            return new JsonResult("删除对象不能为空");
        }
        int result_number=entity_nameService.delEntitys(list);
        if(result_number&lt;1) {
            return new JsonResult("保存失败");
        }
        return new JsonResult("保存成功");
    }
    @RequestMapping("entity_name_update.do")
    @ResponseBody
    public JsonResult entity_name_update(Entity entity_name) {
        if(entity_name==null) {
            return new JsonResult("更新对象不能为空");
        }
        int result_number=entity_nameService.updateEntity(entity_name);
        if(result_number&lt;1) {
            return new JsonResult("更新失败");
        }
        return new JsonResult("更新成功");
    }
    @RequestMapping("entity_name_updates.do")
    @ResponseBody
    public JsonResult entity_name_updates(List&lt;Entity&gt; list) {
        if(list==null) {
            return new JsonResult("更新对象不能为空");
        }
        int result_number=entity_nameService.updateEntitys(list);
        if(result_number&lt;1) {
            return new JsonResult("更新失败");
        }
        return new JsonResult("更新成功");
    }
    @RequestMapping("entity_name_findById.do")
    @ResponseBody
    public JsonResult entity_name_findById(Integer id) {
        if(id==null) {
            return new JsonResult("查询对象不能为空");
        }
        Entity entity_name=entity_nameService.findEntityById(id);
        if(entity_name==null) {
            return new JsonResult("查询失败");
        }
        return new JsonResult(entity_name);
    }
    @RequestMapping("entity_name_findByPage.do")
    @ResponseBody
    public JsonResult entity_name_findByPage(QueryEntity queryEntity) {
        if(queryEntity==null) {
            return new JsonResult("查询对象不能为空");
        }
        Map&lt;String,Object&gt; map=entity_nameService.findEntityByPage(queryEntity);
        if(map==null) {
            return new JsonResult("查询失败");
        }
        return new JsonResult(map);
    }
//other_controller 
}
</t>
    <phoneticPr fontId="1" type="noConversion"/>
  </si>
  <si>
    <t>controller_msg</t>
    <phoneticPr fontId="1" type="noConversion"/>
  </si>
  <si>
    <t>controller</t>
    <phoneticPr fontId="1" type="noConversion"/>
  </si>
  <si>
    <t xml:space="preserve">
    @RequestMapping("entity_name_findByList_name.do")
    @ResponseBody
    public JsonResult entity_name_findByList_name(para_type list_name) {
        if(list_name==null) {
            return new JsonResult("查询对象不能为空");
        }
        Entity entity_name=entity_nameService.findEntityByList_name(list_name);
        if(entity_name==null) {
            return new JsonResult("查询失败");
        }
        return new JsonResult(entity_name);
    }
</t>
    <phoneticPr fontId="1" type="noConversion"/>
  </si>
  <si>
    <t>index_jsp</t>
    <phoneticPr fontId="1" type="noConversion"/>
  </si>
  <si>
    <t>index_msg</t>
    <phoneticPr fontId="1" type="noConversion"/>
  </si>
  <si>
    <t>package service.pakge;
import java.util.HashMap;
import java.util.List;
import java.util.Map;
import javax.annotation.Resource;
import org.springframework.stereotype.Service;
import dao.pakge.EntityDAO;
import entity.ADO.QueryEntity;
import entity.pakge.Entity;
@Service
public class EntityService {
    @Resource(name="entity_nameDAO")
    private EntityDAO entity_nameDAO;
    public int addEntity(Entity entity_name) {
        return entity_nameDAO.addEntity(entity_name);
    }
    public int addEntitys(List&lt;Entity&gt; list) {
        return entity_nameDAO.addEntitys(list);
    }
    public int delEntity(Integer id) {
        return entity_nameDAO.delEntity(id);
    }
    public int delEntitys(List&lt;Integer&gt; list) {
        return entity_nameDAO.delEntitys(list);
    }
    public int updateEntity(Entity entity_name) {
        return entity_nameDAO.updateEntity(entity_name);
    }
    public int updateEntitys(List&lt;Entity&gt; list) {
        return entity_nameDAO.updateEntitys(list);
    }
    public Entity findEntityById(Integer id) {
        return entity_nameDAO.findEntityById(id);
    }
    public Map&lt;String,Object&gt; findEntityByPage(QueryEntity queryEntity){
        List&lt;Entity&gt; list=entity_nameDAO.findEntityByPage(queryEntity);
        int pages =entity_nameDAO.countEntityByPage(queryEntity);
        Map&lt;String,Object&gt; map=new HashMap&lt;String,Object&gt;();
        map.put("rows", list);
        map.put("total", pages);
        return map;
    }
//other_service
}</t>
    <phoneticPr fontId="1" type="noConversion"/>
  </si>
  <si>
    <t>package service.set;
import java.util.HashMap;
import java.util.List;
import java.util.Map;
import javax.annotation.Resource;
import org.springframework.stereotype.Service;
import dao.set.EmpDAO;
import entity.ADO.QueryEmp;
import entity.set.Emp;
@Service
public class EmpService {
    @Resource(name="empDAO")
    private EmpDAO empDAO;
    public int addEmp(Emp emp) {
        return empDAO.addEmp(emp);
    }
    public int addEmps(List&lt;Emp&gt; list) {
        return empDAO.addEmps(list);
    }
    public int delEmp(Integer id) {
        return empDAO.delEmp(id);
    }
    public int delEmps(List&lt;Integer&gt; list) {
        return empDAO.delEmps(list);
    }
    public int updateEmp(Emp emp) {
        return empDAO.updateEmp(emp);
    }
    public int updateEmps(List&lt;Emp&gt; list) {
        return empDAO.updateEmps(list);
    }
    public Emp findEmpById(Integer id) {
        return empDAO.findEmpById(id);
    }
    public Map&lt;String,Object&gt; findEmpByPage(QueryEmp queryEmp){
        List&lt;Emp&gt; list=empDAO.findEmpByPage(queryEmp);
        int pages =empDAO.countEmpByPage(queryEmp);
        Map&lt;String,Object&gt; map=new HashMap&lt;String,Object&gt;();
        map.put("rows", list);
        map.put("total", pages);
        return map;
    }
    public Emp findEmpByEmp_name(String emp_name) {
        return empDAO.findEmpByEmp_name(emp_name);
    }    public Emp findEmpByUser_name(String user_name) {
        return empDAO.findEmpByUser_name(user_name);
    }
}</t>
    <phoneticPr fontId="1" type="noConversion"/>
  </si>
  <si>
    <t xml:space="preserve">package controller.set;
import java.util.List;
import java.util.Map;
import javax.annotation.Resource;
import org.springframework.stereotype.Controller;
import org.springframework.web.bind.annotation.RequestMapping;
import org.springframework.web.bind.annotation.ResponseBody;
import entity.ADO.QueryEmp;
import entity.set.Emp;
import myutils.JsonResult;
import service.set.EmpService;
@Controller
public class EmpController {
    @Resource(name="empService")
    private EmpService empService;
    @RequestMapping("emp_page_load.do")
    public String emp_page_load() {
        return "set/emp_index";
    }
    @RequestMapping("emp_add.do")
    @ResponseBody
    public JsonResult emp_add(Emp emp) {
        if(emp==null) {
            return new JsonResult("保存对象不能为空");
        }
        int result_number=empService.addEmp(emp);
        if(result_number!=1) {
            return new JsonResult("保存失败");
        }
        return new JsonResult("保存成功");
    }
    @RequestMapping("emp_adds.do")
    @ResponseBody
    public JsonResult emp_adds(List&lt;Emp&gt; list) {
        if(list==null) {
            return new JsonResult("保存对象不能为空");
        }
        int result_number=empService.addEmps(list);
        if(result_number&lt;1) {
            return new JsonResult("保存失败");
        }
        return new JsonResult("保存成功");
    }
    @RequestMapping("emp_del.do")
    @ResponseBody
    public JsonResult emp_del(Integer id) {
        if(id==null) {
            return new JsonResult("删除对象不能为空");
        }
        int result_number=empService.delEmp(id);
        if(result_number&lt;1) {
            return new JsonResult("保存失败");
        }
        return new JsonResult("保存成功");
    }
    @RequestMapping("emp_dels.do")
    @ResponseBody
    public JsonResult emp_dels(List&lt;Integer&gt; list) {
        if(list==null) {
            return new JsonResult("删除对象不能为空");
        }
        int result_number=empService.delEmps(list);
        if(result_number&lt;1) {
            return new JsonResult("保存失败");
        }
        return new JsonResult("保存成功");
    }
    @RequestMapping("emp_update.do")
    @ResponseBody
    public JsonResult emp_update(Emp emp) {
        if(emp==null) {
            return new JsonResult("更新对象不能为空");
        }
        int result_number=empService.updateEmp(emp);
        if(result_number&lt;1) {
            return new JsonResult("更新失败");
        }
        return new JsonResult("更新成功");
    }
    @RequestMapping("emp_updates.do")
    @ResponseBody
    public JsonResult emp_updates(List&lt;Emp&gt; list) {
        if(list==null) {
            return new JsonResult("更新对象不能为空");
        }
        int result_number=empService.updateEmps(list);
        if(result_number&lt;1) {
            return new JsonResult("更新失败");
        }
        return new JsonResult("更新成功");
    }
    @RequestMapping("emp_findById.do")
    @ResponseBody
    public JsonResult emp_findById(Integer id) {
        if(id==null) {
            return new JsonResult("查询对象不能为空");
        }
        Emp emp=empService.findEmpById(id);
        if(emp==null) {
            return new JsonResult("查询失败");
        }
        return new JsonResult(emp);
    }
    @RequestMapping("emp_findByPage.do")
    @ResponseBody
    public JsonResult emp_findByPage(QueryEmp queryEmp) {
        if(queryEmp==null) {
            return new JsonResult("查询对象不能为空");
        }
        Map&lt;String,Object&gt; map=empService.findEmpByPage(queryEmp);
        if(map==null) {
            return new JsonResult("查询失败");
        }
        return new JsonResult(map);
    }
    @RequestMapping("emp_findByEmp_name.do")
    @ResponseBody
    public JsonResult emp_findByEmp_name(String emp_name) {
        if(emp_name==null) {
            return new JsonResult("查询对象不能为空");
        }
        Emp emp=empService.findEmpByEmp_name(emp_name);
        if(emp==null) {
            return new JsonResult("查询失败");
        }
        return new JsonResult(emp);
    }
    @RequestMapping("emp_findByUser_name.do")
    @ResponseBody
    public JsonResult emp_findByUser_name(String user_name) {
        if(user_name==null) {
            return new JsonResult("查询对象不能为空");
        }
        Emp emp=empService.findEmpByUser_name(user_name);
        if(emp==null) {
            return new JsonResult("查询失败");
        }
        return new JsonResult(emp);
    }
}
</t>
    <phoneticPr fontId="1" type="noConversion"/>
  </si>
  <si>
    <t xml:space="preserve">&lt;%@ page language="java" contentType="text/html; charset=utf-8"
    pageEncoding="utf-8"%&gt;
&lt;script type="text/javascript" src="js/pakge/entity_name_index.js"&gt;&lt;/script&gt;   
&lt;table id="entity_name"  style="width:80%;height:60%"&gt;
    &lt;thead&gt;
        &lt;tr&gt;
th_message
        &lt;/tr&gt;
    &lt;/thead&gt;
    &lt;div id="entity_name_btn" style="padding:5px;height:auto"&gt;
        &lt;div style="margin-bottom:5px"&gt;
            &lt;a href="#" class="easyui-linkbutton" iconCls="icon-add" plain="true" onclick="entity_name_add();"&gt;&lt;/a&gt;
            &lt;a href="#" class="easyui-linkbutton" iconCls="icon-edit" plain="true" onclick="entity_name_update();"&gt;&lt;/a&gt;
            &lt;a href="#" class="easyui-linkbutton" iconCls="icon-search" plain="true" onclick="entity_name_show();"&gt;&lt;/a&gt; 
            &lt;a href="#" class="easyui-linkbutton" iconCls="icon-reload" plain="true" onclick="entity_name_reload();"&gt;&lt;/a&gt;
            &lt;a href="#" class="easyui-linkbutton" iconCls="icon-remove" plain="true" onclick="entity_name_del();"&gt;&lt;/a&gt;
        &lt;/div&gt;
        &lt;div&gt;
            a: &lt;input id="starttime" class="easyui-datebox" style="width:100px"&gt;
            b: &lt;input id="endtime" class="easyui-datebox" style="width:100px"&gt;
            c: &lt;input id="designer" class="easyui-textbox" panelHeight="auto" style="width:120px"&gt;
            d: &lt;input id="last_pay" type="checkbox" &gt;
            e: &lt;input id="custodian" class="easyui-textbox" panelHeight="auto" style="width:120px"&gt;
            f: &lt;input id="customer_phone" class="easyui-textbox" panelHeight="auto" style="width:120px"&gt;         
            &lt;a href="#" class="easyui-linkbutton" iconCls="icon-search" onclick="entity_name_query()"&gt;查询&lt;/a&gt;
        &lt;/div&gt;
        &lt;/div&gt;
&lt;/table&gt;
&lt;div id="entity_name_del_confirm" class="easyui-window" title="确认删除" style="width:400px;height:200px"   
        data-options="modal:true,inline:true,closed:true"&gt;     
    &lt;div class="easyui-layout" data-options="fit:true"&gt;
        &lt;div data-options="region:'center'" style="padding:10px;"&gt;
            &lt;p id="entity_nameMessage"&gt;&lt;/p&gt; 
        &lt;/div&gt;
        &lt;div data-options="region:'south',border:false" style="text-align:right;padding:5px 0 0;"&gt;
            &lt;a class="easyui-linkbutton" data-options="iconCls:'icon-ok'" href="#" onclick="entity_name_del_confirm();" style="width:80px"&gt;确认删除&lt;/a&gt;
            &lt;a class="easyui-linkbutton" data-options="iconCls:'icon-cancel'" href="#" onclick="entity_name_del_cancel();" style="width:80px"&gt;放弃退出&lt;/a&gt;
        &lt;/div&gt;
    &lt;/div&gt;                
&lt;/div&gt; 
&lt;%@ include file="list/entity_name_pakge_page.jsp" %&gt;
</t>
    <phoneticPr fontId="1" type="noConversion"/>
  </si>
  <si>
    <t xml:space="preserve">            &lt;th data-options="field:'list_name',width:80,hidden:'flag'"&gt;list_name&lt;/th&gt;</t>
    <phoneticPr fontId="1" type="noConversion"/>
  </si>
  <si>
    <t>Emp</t>
    <phoneticPr fontId="1" type="noConversion"/>
  </si>
  <si>
    <t xml:space="preserve">&lt;%@ page language="java" contentType="text/html; charset=utf-8"
    pageEncoding="utf-8"%&gt;
&lt;script type="text/javascript" src="js/set/emp_index.js"&gt;&lt;/script&gt;   
&lt;table id="emp"  style="width:80%;height:60%"&gt;
    &lt;thead&gt;
        &lt;tr&gt;
            &lt;th data-options="field:'id',width:80"&gt;id&lt;/th&gt;_x000D_
            &lt;th data-options="field:'emp_name',width:80"&gt;emp_name&lt;/th&gt;_x000D_
            &lt;th data-options="field:'dept_id',width:80"&gt;dept_id&lt;/th&gt;_x000D_
            &lt;th data-options="field:'master_id',width:80"&gt;master_id&lt;/th&gt;_x000D_
            &lt;th data-options="field:'user_name',width:80"&gt;user_name&lt;/th&gt;_x000D_
            &lt;th data-options="field:'password',width:80"&gt;password&lt;/th&gt;_x000D_
        &lt;/tr&gt;
    &lt;/thead&gt;
    &lt;div id="emp_btn" style="padding:5px;height:auto"&gt;
        &lt;div style="margin-bottom:5px"&gt;
            &lt;a href="#" class="easyui-linkbutton" iconCls="icon-add" plain="true" onclick="emp_add();"&gt;&lt;/a&gt;
            &lt;a href="#" class="easyui-linkbutton" iconCls="icon-edit" plain="true" onclick="emp_update();"&gt;&lt;/a&gt;
            &lt;a href="#" class="easyui-linkbutton" iconCls="icon-search" plain="true" onclick="emp_show();"&gt;&lt;/a&gt; 
            &lt;a href="#" class="easyui-linkbutton" iconCls="icon-reload" plain="true" onclick="emp_reload();"&gt;&lt;/a&gt;
            &lt;a href="#" class="easyui-linkbutton" iconCls="icon-remove" plain="true" onclick="emp_del();"&gt;&lt;/a&gt;
        &lt;/div&gt;
        &lt;div&gt;
            a: &lt;input id="starttime" class="easyui-datebox" style="width:100px"&gt;
            b: &lt;input id="endtime" class="easyui-datebox" style="width:100px"&gt;
            c: &lt;input id="designer" class="easyui-textbox" panelHeight="auto" style="width:120px"&gt;
            d: &lt;input id="last_pay" type="checkbox" &gt;
            e: &lt;input id="custodian" class="easyui-textbox" panelHeight="auto" style="width:120px"&gt;
            f: &lt;input id="customer_phone" class="easyui-textbox" panelHeight="auto" style="width:120px"&gt;         
            &lt;a href="#" class="easyui-linkbutton" iconCls="icon-search" onclick="emp_query()"&gt;查询&lt;/a&gt;
        &lt;/div&gt;
        &lt;/div&gt;
&lt;/table&gt;
&lt;div id="emp_del_confirm" class="easyui-window" title="确认删除" style="width:400px;height:200px"   
        data-options="modal:true,inline:true,closed:true"&gt;     
    &lt;div class="easyui-layout" data-options="fit:true"&gt;
        &lt;div data-options="region:'center'" style="padding:10px;"&gt;
            &lt;p id="empMessage"&gt;&lt;/p&gt; 
        &lt;/div&gt;
        &lt;div data-options="region:'south',border:false" style="text-align:right;padding:5px 0 0;"&gt;
            &lt;a class="easyui-linkbutton" data-options="iconCls:'icon-ok'" href="#" onclick="emp_del_confirm();" style="width:80px"&gt;确认删除&lt;/a&gt;
            &lt;a class="easyui-linkbutton" data-options="iconCls:'icon-cancel'" href="#" onclick="emp_del_cancel();" style="width:80px"&gt;放弃退出&lt;/a&gt;
        &lt;/div&gt;
    &lt;/div&gt;                
&lt;/div&gt; 
&lt;%@ include file="list/emp_set_page.jsp" %&gt;
</t>
    <phoneticPr fontId="1" type="noConversion"/>
  </si>
  <si>
    <t>controller生成</t>
    <phoneticPr fontId="1" type="noConversion"/>
  </si>
  <si>
    <t>index_jsp生成</t>
    <phoneticPr fontId="1" type="noConversion"/>
  </si>
  <si>
    <t>index.js生成</t>
    <phoneticPr fontId="1" type="noConversion"/>
  </si>
  <si>
    <t>table_page.jsp生成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</si>
</sst>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wrapText="1"/>
    </xf>
    <xf numFmtId="0" fontId="0" fillId="3" borderId="0" xfId="0" applyFill="1" applyAlignment="1">
      <alignment vertical="top" wrapText="1"/>
    </xf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2" xfId="0" quotePrefix="1" applyFill="1" applyBorder="1"/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/>
    <xf numFmtId="0" fontId="0" fillId="3" borderId="1" xfId="0" quotePrefix="1" applyFill="1" applyBorder="1"/>
    <xf numFmtId="0" fontId="0" fillId="3" borderId="0" xfId="0" applyFill="1" applyBorder="1"/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3" borderId="0" xfId="0" applyFill="1" applyBorder="1" applyAlignment="1">
      <alignment wrapText="1"/>
    </xf>
    <xf numFmtId="0" fontId="0" fillId="9" borderId="1" xfId="0" applyFill="1" applyBorder="1"/>
    <xf numFmtId="0" fontId="0" fillId="3" borderId="1" xfId="0" applyFill="1" applyBorder="1" applyAlignment="1">
      <alignment horizontal="center"/>
    </xf>
    <xf numFmtId="0" fontId="0" fillId="7" borderId="6" xfId="0" applyFill="1" applyBorder="1" applyAlignment="1">
      <alignment horizontal="left" vertical="top" wrapText="1"/>
    </xf>
    <xf numFmtId="0" fontId="0" fillId="7" borderId="7" xfId="0" applyFill="1" applyBorder="1" applyAlignment="1">
      <alignment horizontal="left" vertical="top" wrapText="1"/>
    </xf>
    <xf numFmtId="0" fontId="0" fillId="7" borderId="8" xfId="0" applyFill="1" applyBorder="1" applyAlignment="1">
      <alignment horizontal="left" vertical="top" wrapText="1"/>
    </xf>
    <xf numFmtId="0" fontId="0" fillId="7" borderId="9" xfId="0" applyFill="1" applyBorder="1" applyAlignment="1">
      <alignment horizontal="left" vertical="top" wrapText="1"/>
    </xf>
    <xf numFmtId="0" fontId="0" fillId="7" borderId="0" xfId="0" applyFill="1" applyBorder="1" applyAlignment="1">
      <alignment horizontal="left" vertical="top" wrapText="1"/>
    </xf>
    <xf numFmtId="0" fontId="0" fillId="7" borderId="10" xfId="0" applyFill="1" applyBorder="1" applyAlignment="1">
      <alignment horizontal="left" vertical="top" wrapText="1"/>
    </xf>
    <xf numFmtId="0" fontId="0" fillId="7" borderId="11" xfId="0" applyFill="1" applyBorder="1" applyAlignment="1">
      <alignment horizontal="left" vertical="top" wrapText="1"/>
    </xf>
    <xf numFmtId="0" fontId="0" fillId="7" borderId="12" xfId="0" applyFill="1" applyBorder="1" applyAlignment="1">
      <alignment horizontal="left" vertical="top" wrapText="1"/>
    </xf>
    <xf numFmtId="0" fontId="0" fillId="7" borderId="13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8" borderId="3" xfId="0" applyFill="1" applyBorder="1" applyAlignment="1">
      <alignment horizontal="left" vertical="center" wrapText="1"/>
    </xf>
    <xf numFmtId="0" fontId="0" fillId="8" borderId="4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4" xfId="0" applyBorder="1"/>
    <xf numFmtId="0" fontId="0" fillId="10" borderId="12" xfId="0" applyFill="1" applyBorder="1" applyAlignment="1">
      <alignment horizontal="center"/>
    </xf>
    <xf numFmtId="0" fontId="0" fillId="4" borderId="14" xfId="0" applyFill="1" applyBorder="1"/>
    <xf numFmtId="0" fontId="0" fillId="3" borderId="14" xfId="0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1" borderId="1" xfId="0" applyFill="1" applyBorder="1"/>
    <xf numFmtId="0" fontId="0" fillId="9" borderId="1" xfId="0" applyFill="1" applyBorder="1" applyAlignment="1">
      <alignment vertical="top" wrapText="1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38100</xdr:rowOff>
        </xdr:from>
        <xdr:to>
          <xdr:col>7</xdr:col>
          <xdr:colOff>304800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7</xdr:row>
          <xdr:rowOff>0</xdr:rowOff>
        </xdr:from>
        <xdr:to>
          <xdr:col>7</xdr:col>
          <xdr:colOff>314325</xdr:colOff>
          <xdr:row>8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9</xdr:row>
          <xdr:rowOff>152400</xdr:rowOff>
        </xdr:from>
        <xdr:to>
          <xdr:col>7</xdr:col>
          <xdr:colOff>333375</xdr:colOff>
          <xdr:row>11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42"/>
  <sheetViews>
    <sheetView workbookViewId="0">
      <selection activeCell="B8" sqref="B8:B9"/>
    </sheetView>
  </sheetViews>
  <sheetFormatPr defaultColWidth="8.625" defaultRowHeight="15" customHeight="1" x14ac:dyDescent="0.15"/>
  <cols>
    <col min="1" max="1" width="14.125" style="1" customWidth="1"/>
    <col min="2" max="2" width="11.25" style="1" customWidth="1"/>
    <col min="3" max="3" width="25" style="1" customWidth="1"/>
    <col min="4" max="4" width="13.25" style="1" customWidth="1"/>
    <col min="5" max="5" width="12.125" style="1" customWidth="1"/>
    <col min="6" max="6" width="11.75" style="1" customWidth="1"/>
    <col min="7" max="7" width="8.625" style="1"/>
    <col min="8" max="8" width="10" style="1" customWidth="1"/>
    <col min="9" max="9" width="15.875" style="1" customWidth="1"/>
    <col min="10" max="10" width="75.875" style="1" customWidth="1"/>
    <col min="11" max="11" width="8.625" style="1" customWidth="1"/>
    <col min="12" max="12" width="6" style="1" customWidth="1"/>
    <col min="13" max="13" width="7" style="1" customWidth="1"/>
    <col min="14" max="14" width="32.125" style="1" customWidth="1"/>
    <col min="15" max="15" width="41.375" style="1" customWidth="1"/>
    <col min="16" max="16" width="4.125" style="1" customWidth="1"/>
    <col min="17" max="19" width="13.5" style="1" customWidth="1"/>
    <col min="20" max="20" width="9.375" style="1" customWidth="1"/>
    <col min="21" max="16384" width="8.625" style="1"/>
  </cols>
  <sheetData>
    <row r="1" spans="1:20" ht="15" customHeight="1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1">
        <v>9</v>
      </c>
      <c r="J1" s="3">
        <v>10</v>
      </c>
    </row>
    <row r="2" spans="1:20" ht="15" customHeight="1" x14ac:dyDescent="0.15">
      <c r="A2" s="53" t="s">
        <v>187</v>
      </c>
      <c r="B2" s="52" t="s">
        <v>71</v>
      </c>
      <c r="C2" s="49" t="s">
        <v>0</v>
      </c>
      <c r="D2" s="27"/>
      <c r="E2" s="27"/>
      <c r="F2" s="27"/>
      <c r="G2" s="2" t="s">
        <v>154</v>
      </c>
      <c r="I2" s="27" t="s">
        <v>5</v>
      </c>
      <c r="J2" s="27"/>
      <c r="Q2" s="28" t="s">
        <v>94</v>
      </c>
      <c r="R2" s="29"/>
      <c r="S2" s="29"/>
      <c r="T2" s="30"/>
    </row>
    <row r="3" spans="1:20" ht="15.75" customHeight="1" x14ac:dyDescent="0.15">
      <c r="A3" s="53" t="s">
        <v>188</v>
      </c>
      <c r="B3" s="52" t="s">
        <v>72</v>
      </c>
      <c r="C3" s="50" t="s">
        <v>82</v>
      </c>
      <c r="D3" s="21" t="s">
        <v>208</v>
      </c>
      <c r="E3" s="17" t="s">
        <v>83</v>
      </c>
      <c r="F3" s="11" t="s">
        <v>186</v>
      </c>
      <c r="G3" s="2" t="str">
        <f>"_"&amp;F3</f>
        <v>_set</v>
      </c>
      <c r="I3" s="6" t="s">
        <v>6</v>
      </c>
      <c r="J3" s="4" t="s">
        <v>4</v>
      </c>
      <c r="K3" s="7" t="s">
        <v>26</v>
      </c>
      <c r="L3" s="7" t="s">
        <v>27</v>
      </c>
      <c r="M3" s="8" t="s">
        <v>25</v>
      </c>
      <c r="N3" s="2" t="str">
        <f>$K$3&amp;$I3&amp;$L$3&amp;$M$3</f>
        <v>public dtd As Variant</v>
      </c>
      <c r="O3" s="2" t="str">
        <f>$K$4&amp;I3&amp;$L$4&amp;I3&amp;$M$4</f>
        <v>case "dtd"    dtd=temp</v>
      </c>
      <c r="Q3" s="31"/>
      <c r="R3" s="32"/>
      <c r="S3" s="32"/>
      <c r="T3" s="33"/>
    </row>
    <row r="4" spans="1:20" ht="15" customHeight="1" x14ac:dyDescent="0.15">
      <c r="A4" s="53" t="s">
        <v>189</v>
      </c>
      <c r="B4" s="52" t="s">
        <v>80</v>
      </c>
      <c r="C4" s="51" t="s">
        <v>84</v>
      </c>
      <c r="D4" s="16" t="s">
        <v>85</v>
      </c>
      <c r="E4" s="16" t="s">
        <v>1</v>
      </c>
      <c r="F4" s="16" t="s">
        <v>145</v>
      </c>
      <c r="G4" s="15"/>
      <c r="I4" s="6" t="s">
        <v>23</v>
      </c>
      <c r="J4" s="2" t="s">
        <v>42</v>
      </c>
      <c r="K4" s="7" t="s">
        <v>28</v>
      </c>
      <c r="L4" s="7" t="s">
        <v>30</v>
      </c>
      <c r="M4" s="9" t="s">
        <v>29</v>
      </c>
      <c r="N4" s="2" t="str">
        <f t="shared" ref="N4:N25" si="0">$K$3&amp;$I4&amp;$L$3&amp;$M$3</f>
        <v>public namespace As Variant</v>
      </c>
      <c r="O4" s="2" t="str">
        <f t="shared" ref="O4:O25" si="1">$K$4&amp;I4&amp;$L$4&amp;I4&amp;$M$4</f>
        <v>case "namespace"    namespace=temp</v>
      </c>
      <c r="Q4" s="31"/>
      <c r="R4" s="32"/>
      <c r="S4" s="32"/>
      <c r="T4" s="33"/>
    </row>
    <row r="5" spans="1:20" ht="15" customHeight="1" x14ac:dyDescent="0.15">
      <c r="A5" s="53" t="s">
        <v>190</v>
      </c>
      <c r="B5" s="52" t="s">
        <v>81</v>
      </c>
      <c r="C5" s="21" t="s">
        <v>87</v>
      </c>
      <c r="D5" s="21" t="s">
        <v>88</v>
      </c>
      <c r="E5" s="21" t="s">
        <v>114</v>
      </c>
      <c r="F5" s="21" t="s">
        <v>89</v>
      </c>
      <c r="I5" s="6" t="s">
        <v>45</v>
      </c>
      <c r="J5" s="2" t="s">
        <v>46</v>
      </c>
      <c r="N5" s="2" t="str">
        <f t="shared" si="0"/>
        <v>public namespace_end As Variant</v>
      </c>
      <c r="O5" s="2" t="str">
        <f t="shared" si="1"/>
        <v>case "namespace_end"    namespace_end=temp</v>
      </c>
      <c r="Q5" s="31"/>
      <c r="R5" s="32"/>
      <c r="S5" s="32"/>
      <c r="T5" s="33"/>
    </row>
    <row r="6" spans="1:20" ht="15.75" customHeight="1" x14ac:dyDescent="0.15">
      <c r="A6" s="53" t="s">
        <v>191</v>
      </c>
      <c r="B6" s="52" t="s">
        <v>110</v>
      </c>
      <c r="C6" s="21" t="s">
        <v>156</v>
      </c>
      <c r="D6" s="21" t="s">
        <v>90</v>
      </c>
      <c r="E6" s="21" t="s">
        <v>117</v>
      </c>
      <c r="F6" s="21" t="s">
        <v>89</v>
      </c>
      <c r="I6" s="6" t="s">
        <v>24</v>
      </c>
      <c r="J6" s="26" t="str">
        <f>F3</f>
        <v>set</v>
      </c>
      <c r="N6" s="2" t="str">
        <f t="shared" si="0"/>
        <v>public pakge As Variant</v>
      </c>
      <c r="O6" s="2" t="str">
        <f t="shared" si="1"/>
        <v>case "pakge"    pakge=temp</v>
      </c>
      <c r="Q6" s="31"/>
      <c r="R6" s="32"/>
      <c r="S6" s="32"/>
      <c r="T6" s="33"/>
    </row>
    <row r="7" spans="1:20" ht="15" customHeight="1" x14ac:dyDescent="0.15">
      <c r="A7" s="53" t="s">
        <v>204</v>
      </c>
      <c r="B7" s="52" t="s">
        <v>179</v>
      </c>
      <c r="C7" s="21" t="s">
        <v>157</v>
      </c>
      <c r="D7" s="21" t="s">
        <v>88</v>
      </c>
      <c r="E7" s="21"/>
      <c r="F7" s="21" t="s">
        <v>91</v>
      </c>
      <c r="I7" s="6" t="s">
        <v>43</v>
      </c>
      <c r="J7" s="26" t="str">
        <f>D3</f>
        <v>Emp</v>
      </c>
      <c r="N7" s="2" t="str">
        <f t="shared" si="0"/>
        <v>public entity As Variant</v>
      </c>
      <c r="O7" s="2" t="str">
        <f t="shared" si="1"/>
        <v>case "entity"    entity=temp</v>
      </c>
      <c r="Q7" s="31"/>
      <c r="R7" s="32"/>
      <c r="S7" s="32"/>
      <c r="T7" s="33"/>
    </row>
    <row r="8" spans="1:20" ht="15" customHeight="1" x14ac:dyDescent="0.15">
      <c r="A8" s="53" t="s">
        <v>205</v>
      </c>
      <c r="B8" s="52" t="s">
        <v>199</v>
      </c>
      <c r="C8" s="21" t="s">
        <v>158</v>
      </c>
      <c r="D8" s="21" t="s">
        <v>88</v>
      </c>
      <c r="E8" s="21"/>
      <c r="F8" s="21" t="s">
        <v>91</v>
      </c>
      <c r="I8" s="6" t="s">
        <v>8</v>
      </c>
      <c r="J8" s="2" t="s">
        <v>59</v>
      </c>
      <c r="N8" s="2" t="str">
        <f t="shared" si="0"/>
        <v>public foreach_head As Variant</v>
      </c>
      <c r="O8" s="2" t="str">
        <f t="shared" si="1"/>
        <v>case "foreach_head"    foreach_head=temp</v>
      </c>
      <c r="Q8" s="31"/>
      <c r="R8" s="32"/>
      <c r="S8" s="32"/>
      <c r="T8" s="33"/>
    </row>
    <row r="9" spans="1:20" ht="15" customHeight="1" x14ac:dyDescent="0.15">
      <c r="A9" s="53" t="s">
        <v>209</v>
      </c>
      <c r="B9" s="52" t="s">
        <v>201</v>
      </c>
      <c r="C9" s="21" t="s">
        <v>159</v>
      </c>
      <c r="D9" s="21" t="s">
        <v>90</v>
      </c>
      <c r="E9" s="21" t="s">
        <v>117</v>
      </c>
      <c r="F9" s="21" t="s">
        <v>91</v>
      </c>
      <c r="I9" s="6" t="s">
        <v>9</v>
      </c>
      <c r="J9" s="2" t="s">
        <v>7</v>
      </c>
      <c r="N9" s="2" t="str">
        <f t="shared" si="0"/>
        <v>public foreach_end As Variant</v>
      </c>
      <c r="O9" s="2" t="str">
        <f t="shared" si="1"/>
        <v>case "foreach_end"    foreach_end=temp</v>
      </c>
      <c r="Q9" s="31"/>
      <c r="R9" s="32"/>
      <c r="S9" s="32"/>
      <c r="T9" s="33"/>
    </row>
    <row r="10" spans="1:20" ht="15" customHeight="1" x14ac:dyDescent="0.15">
      <c r="A10" s="53"/>
      <c r="B10" s="52"/>
      <c r="C10" s="21" t="s">
        <v>160</v>
      </c>
      <c r="D10" s="21" t="s">
        <v>90</v>
      </c>
      <c r="E10" s="21"/>
      <c r="F10" s="21" t="s">
        <v>91</v>
      </c>
      <c r="I10" s="6" t="s">
        <v>10</v>
      </c>
      <c r="J10" s="2" t="s">
        <v>44</v>
      </c>
      <c r="N10" s="2" t="str">
        <f t="shared" si="0"/>
        <v>public insert_head As Variant</v>
      </c>
      <c r="O10" s="2" t="str">
        <f t="shared" si="1"/>
        <v>case "insert_head"    insert_head=temp</v>
      </c>
      <c r="Q10" s="31"/>
      <c r="R10" s="32"/>
      <c r="S10" s="32"/>
      <c r="T10" s="33"/>
    </row>
    <row r="11" spans="1:20" ht="15" customHeight="1" x14ac:dyDescent="0.15">
      <c r="A11" s="53"/>
      <c r="B11" s="52"/>
      <c r="C11"/>
      <c r="D11"/>
      <c r="E11"/>
      <c r="F11"/>
      <c r="I11" s="6" t="s">
        <v>11</v>
      </c>
      <c r="J11" s="2" t="s">
        <v>19</v>
      </c>
      <c r="N11" s="2" t="str">
        <f t="shared" si="0"/>
        <v>public insert_end As Variant</v>
      </c>
      <c r="O11" s="2" t="str">
        <f t="shared" si="1"/>
        <v>case "insert_end"    insert_end=temp</v>
      </c>
      <c r="Q11" s="31"/>
      <c r="R11" s="32"/>
      <c r="S11" s="32"/>
      <c r="T11" s="33"/>
    </row>
    <row r="12" spans="1:20" ht="15" customHeight="1" x14ac:dyDescent="0.15">
      <c r="A12" s="53"/>
      <c r="B12" s="52"/>
      <c r="C12"/>
      <c r="D12"/>
      <c r="E12"/>
      <c r="F12"/>
      <c r="I12" s="6" t="s">
        <v>12</v>
      </c>
      <c r="J12" s="2" t="s">
        <v>101</v>
      </c>
      <c r="N12" s="2" t="str">
        <f t="shared" si="0"/>
        <v>public insert_msg As Variant</v>
      </c>
      <c r="O12" s="2" t="str">
        <f t="shared" si="1"/>
        <v>case "insert_msg"    insert_msg=temp</v>
      </c>
      <c r="Q12" s="31"/>
      <c r="R12" s="32"/>
      <c r="S12" s="32"/>
      <c r="T12" s="33"/>
    </row>
    <row r="13" spans="1:20" ht="15" customHeight="1" x14ac:dyDescent="0.15">
      <c r="A13" s="53"/>
      <c r="B13" s="52"/>
      <c r="C13"/>
      <c r="D13"/>
      <c r="E13"/>
      <c r="F13"/>
      <c r="I13" s="6" t="s">
        <v>13</v>
      </c>
      <c r="J13" s="2" t="s">
        <v>20</v>
      </c>
      <c r="N13" s="2" t="str">
        <f t="shared" si="0"/>
        <v>public delete_head As Variant</v>
      </c>
      <c r="O13" s="2" t="str">
        <f t="shared" si="1"/>
        <v>case "delete_head"    delete_head=temp</v>
      </c>
      <c r="Q13" s="31"/>
      <c r="R13" s="32"/>
      <c r="S13" s="32"/>
      <c r="T13" s="33"/>
    </row>
    <row r="14" spans="1:20" ht="15" customHeight="1" x14ac:dyDescent="0.15">
      <c r="A14" s="53"/>
      <c r="B14" s="52"/>
      <c r="C14"/>
      <c r="D14"/>
      <c r="E14"/>
      <c r="F14"/>
      <c r="I14" s="6" t="s">
        <v>14</v>
      </c>
      <c r="J14" s="2" t="s">
        <v>21</v>
      </c>
      <c r="N14" s="2" t="str">
        <f t="shared" si="0"/>
        <v>public delete_end As Variant</v>
      </c>
      <c r="O14" s="2" t="str">
        <f t="shared" si="1"/>
        <v>case "delete_end"    delete_end=temp</v>
      </c>
      <c r="Q14" s="31"/>
      <c r="R14" s="32"/>
      <c r="S14" s="32"/>
      <c r="T14" s="33"/>
    </row>
    <row r="15" spans="1:20" ht="15" customHeight="1" x14ac:dyDescent="0.15">
      <c r="A15" s="53"/>
      <c r="B15" s="52"/>
      <c r="C15"/>
      <c r="D15"/>
      <c r="E15"/>
      <c r="F15"/>
      <c r="I15" s="6" t="s">
        <v>15</v>
      </c>
      <c r="J15" s="2" t="s">
        <v>102</v>
      </c>
      <c r="N15" s="2" t="str">
        <f t="shared" si="0"/>
        <v>public delete_msg As Variant</v>
      </c>
      <c r="O15" s="2" t="str">
        <f t="shared" si="1"/>
        <v>case "delete_msg"    delete_msg=temp</v>
      </c>
      <c r="Q15" s="31"/>
      <c r="R15" s="32"/>
      <c r="S15" s="32"/>
      <c r="T15" s="33"/>
    </row>
    <row r="16" spans="1:20" ht="15" customHeight="1" x14ac:dyDescent="0.15">
      <c r="A16" s="53"/>
      <c r="B16" s="52"/>
      <c r="C16"/>
      <c r="D16"/>
      <c r="E16"/>
      <c r="F16"/>
      <c r="I16" s="6" t="s">
        <v>16</v>
      </c>
      <c r="J16" s="2" t="s">
        <v>34</v>
      </c>
      <c r="N16" s="2" t="str">
        <f t="shared" si="0"/>
        <v>public update_head As Variant</v>
      </c>
      <c r="O16" s="2" t="str">
        <f t="shared" si="1"/>
        <v>case "update_head"    update_head=temp</v>
      </c>
      <c r="Q16" s="31"/>
      <c r="R16" s="32"/>
      <c r="S16" s="32"/>
      <c r="T16" s="33"/>
    </row>
    <row r="17" spans="1:20" ht="15" customHeight="1" x14ac:dyDescent="0.15">
      <c r="A17" s="53"/>
      <c r="B17" s="52"/>
      <c r="C17"/>
      <c r="D17"/>
      <c r="E17"/>
      <c r="F17"/>
      <c r="I17" s="6" t="s">
        <v>17</v>
      </c>
      <c r="J17" s="2" t="s">
        <v>22</v>
      </c>
      <c r="N17" s="2" t="str">
        <f t="shared" si="0"/>
        <v>public update_end As Variant</v>
      </c>
      <c r="O17" s="2" t="str">
        <f t="shared" si="1"/>
        <v>case "update_end"    update_end=temp</v>
      </c>
      <c r="Q17" s="31"/>
      <c r="R17" s="32"/>
      <c r="S17" s="32"/>
      <c r="T17" s="33"/>
    </row>
    <row r="18" spans="1:20" ht="15" customHeight="1" x14ac:dyDescent="0.15">
      <c r="A18" s="53"/>
      <c r="B18" s="52"/>
      <c r="C18"/>
      <c r="D18"/>
      <c r="E18"/>
      <c r="F18"/>
      <c r="I18" s="6" t="s">
        <v>18</v>
      </c>
      <c r="J18" s="2" t="s">
        <v>100</v>
      </c>
      <c r="N18" s="2" t="str">
        <f t="shared" si="0"/>
        <v>public update_msg As Variant</v>
      </c>
      <c r="O18" s="2" t="str">
        <f t="shared" si="1"/>
        <v>case "update_msg"    update_msg=temp</v>
      </c>
      <c r="Q18" s="31"/>
      <c r="R18" s="32"/>
      <c r="S18" s="32"/>
      <c r="T18" s="33"/>
    </row>
    <row r="19" spans="1:20" ht="15" customHeight="1" x14ac:dyDescent="0.15">
      <c r="A19" s="53"/>
      <c r="B19" s="52"/>
      <c r="C19"/>
      <c r="D19"/>
      <c r="E19"/>
      <c r="F19"/>
      <c r="I19" s="6" t="s">
        <v>31</v>
      </c>
      <c r="J19" s="2" t="s">
        <v>68</v>
      </c>
      <c r="N19" s="2" t="str">
        <f t="shared" si="0"/>
        <v>public select_head As Variant</v>
      </c>
      <c r="O19" s="2" t="str">
        <f t="shared" si="1"/>
        <v>case "select_head"    select_head=temp</v>
      </c>
      <c r="Q19" s="31"/>
      <c r="R19" s="32"/>
      <c r="S19" s="32"/>
      <c r="T19" s="33"/>
    </row>
    <row r="20" spans="1:20" ht="15" customHeight="1" x14ac:dyDescent="0.15">
      <c r="A20" s="5"/>
      <c r="C20"/>
      <c r="D20"/>
      <c r="E20"/>
      <c r="F20"/>
      <c r="I20" s="6" t="s">
        <v>32</v>
      </c>
      <c r="J20" s="2" t="s">
        <v>39</v>
      </c>
      <c r="N20" s="2" t="str">
        <f t="shared" si="0"/>
        <v>public select_end As Variant</v>
      </c>
      <c r="O20" s="2" t="str">
        <f t="shared" si="1"/>
        <v>case "select_end"    select_end=temp</v>
      </c>
      <c r="Q20" s="31"/>
      <c r="R20" s="32"/>
      <c r="S20" s="32"/>
      <c r="T20" s="33"/>
    </row>
    <row r="21" spans="1:20" ht="15" customHeight="1" x14ac:dyDescent="0.15">
      <c r="A21" s="5"/>
      <c r="C21"/>
      <c r="D21"/>
      <c r="E21"/>
      <c r="F21"/>
      <c r="I21" s="6" t="s">
        <v>33</v>
      </c>
      <c r="J21" s="2" t="s">
        <v>99</v>
      </c>
      <c r="N21" s="2" t="str">
        <f t="shared" si="0"/>
        <v>public select_msg As Variant</v>
      </c>
      <c r="O21" s="2" t="str">
        <f t="shared" si="1"/>
        <v>case "select_msg"    select_msg=temp</v>
      </c>
      <c r="Q21" s="31"/>
      <c r="R21" s="32"/>
      <c r="S21" s="32"/>
      <c r="T21" s="33"/>
    </row>
    <row r="22" spans="1:20" ht="18" customHeight="1" x14ac:dyDescent="0.15">
      <c r="A22" s="5"/>
      <c r="B22" s="5"/>
      <c r="C22"/>
      <c r="D22"/>
      <c r="E22"/>
      <c r="F22"/>
      <c r="I22" s="6" t="s">
        <v>35</v>
      </c>
      <c r="J22" s="2" t="s">
        <v>64</v>
      </c>
      <c r="N22" s="2" t="str">
        <f t="shared" si="0"/>
        <v>public if_head As Variant</v>
      </c>
      <c r="O22" s="2" t="str">
        <f t="shared" si="1"/>
        <v>case "if_head"    if_head=temp</v>
      </c>
      <c r="Q22" s="31"/>
      <c r="R22" s="32"/>
      <c r="S22" s="32"/>
      <c r="T22" s="33"/>
    </row>
    <row r="23" spans="1:20" ht="18" customHeight="1" x14ac:dyDescent="0.15">
      <c r="A23" s="5"/>
      <c r="B23" s="5"/>
      <c r="C23"/>
      <c r="D23"/>
      <c r="E23"/>
      <c r="F23"/>
      <c r="I23" s="6" t="s">
        <v>36</v>
      </c>
      <c r="J23" s="2" t="s">
        <v>40</v>
      </c>
      <c r="N23" s="2" t="str">
        <f t="shared" si="0"/>
        <v>public if_end As Variant</v>
      </c>
      <c r="O23" s="2" t="str">
        <f t="shared" si="1"/>
        <v>case "if_end"    if_end=temp</v>
      </c>
      <c r="Q23" s="31"/>
      <c r="R23" s="32"/>
      <c r="S23" s="32"/>
      <c r="T23" s="33"/>
    </row>
    <row r="24" spans="1:20" ht="18" customHeight="1" x14ac:dyDescent="0.15">
      <c r="A24" s="5"/>
      <c r="B24" s="5"/>
      <c r="C24"/>
      <c r="D24"/>
      <c r="E24"/>
      <c r="F24"/>
      <c r="I24" s="6" t="s">
        <v>37</v>
      </c>
      <c r="J24" s="2" t="s">
        <v>41</v>
      </c>
      <c r="N24" s="2" t="str">
        <f t="shared" si="0"/>
        <v>public sql_head As Variant</v>
      </c>
      <c r="O24" s="2" t="str">
        <f t="shared" si="1"/>
        <v>case "sql_head"    sql_head=temp</v>
      </c>
      <c r="Q24" s="31"/>
      <c r="R24" s="32"/>
      <c r="S24" s="32"/>
      <c r="T24" s="33"/>
    </row>
    <row r="25" spans="1:20" ht="18" customHeight="1" x14ac:dyDescent="0.15">
      <c r="A25" s="5"/>
      <c r="B25" s="5"/>
      <c r="C25"/>
      <c r="D25"/>
      <c r="E25"/>
      <c r="F25"/>
      <c r="I25" s="6" t="s">
        <v>38</v>
      </c>
      <c r="J25" s="2" t="s">
        <v>61</v>
      </c>
      <c r="N25" s="2" t="str">
        <f t="shared" si="0"/>
        <v>public sql_end As Variant</v>
      </c>
      <c r="O25" s="2" t="str">
        <f t="shared" si="1"/>
        <v>case "sql_end"    sql_end=temp</v>
      </c>
      <c r="Q25" s="34"/>
      <c r="R25" s="35"/>
      <c r="S25" s="35"/>
      <c r="T25" s="36"/>
    </row>
    <row r="26" spans="1:20" ht="18" customHeight="1" x14ac:dyDescent="0.15">
      <c r="A26" s="5"/>
      <c r="B26" s="5"/>
      <c r="C26"/>
      <c r="D26"/>
      <c r="E26"/>
      <c r="F26"/>
      <c r="I26" s="6" t="s">
        <v>60</v>
      </c>
      <c r="J26" s="2" t="s">
        <v>62</v>
      </c>
      <c r="N26" s="2" t="str">
        <f>$K$3&amp;$I26&amp;$L$3&amp;$M$3</f>
        <v>public set_full As Variant</v>
      </c>
      <c r="O26" s="2" t="str">
        <f>$K$4&amp;I26&amp;$L$4&amp;I26&amp;$M$4</f>
        <v>case "set_full"    set_full=temp</v>
      </c>
    </row>
    <row r="27" spans="1:20" ht="18" customHeight="1" x14ac:dyDescent="0.15">
      <c r="A27" s="5"/>
      <c r="B27" s="5"/>
      <c r="C27"/>
      <c r="D27"/>
      <c r="E27"/>
      <c r="F27"/>
      <c r="I27" s="6" t="s">
        <v>65</v>
      </c>
      <c r="J27" s="2" t="s">
        <v>103</v>
      </c>
      <c r="N27" s="2" t="str">
        <f t="shared" ref="N27:N42" si="2">$K$3&amp;$I27&amp;$L$3&amp;$M$3</f>
        <v>public cdata_a As Variant</v>
      </c>
      <c r="O27" s="2" t="str">
        <f t="shared" ref="O27:O28" si="3">$K$4&amp;I27&amp;$L$4&amp;I27&amp;$M$4</f>
        <v>case "cdata_a"    cdata_a=temp</v>
      </c>
    </row>
    <row r="28" spans="1:20" ht="18" customHeight="1" x14ac:dyDescent="0.15">
      <c r="A28" s="5"/>
      <c r="B28" s="5"/>
      <c r="C28"/>
      <c r="D28"/>
      <c r="E28"/>
      <c r="F28"/>
      <c r="I28" s="6" t="s">
        <v>70</v>
      </c>
      <c r="J28" s="2" t="s">
        <v>104</v>
      </c>
      <c r="N28" s="2" t="str">
        <f t="shared" si="2"/>
        <v>public cdata_b As Variant</v>
      </c>
      <c r="O28" s="2" t="str">
        <f t="shared" si="3"/>
        <v>case "cdata_b"    cdata_b=temp</v>
      </c>
    </row>
    <row r="29" spans="1:20" ht="18" customHeight="1" x14ac:dyDescent="0.15">
      <c r="A29" s="5"/>
      <c r="B29" s="5"/>
      <c r="C29"/>
      <c r="D29"/>
      <c r="E29"/>
      <c r="F29"/>
      <c r="I29" s="6" t="s">
        <v>66</v>
      </c>
      <c r="J29" s="2" t="s">
        <v>98</v>
      </c>
      <c r="N29" s="2" t="str">
        <f t="shared" si="2"/>
        <v>public like_full As Variant</v>
      </c>
      <c r="O29" s="2" t="str">
        <f t="shared" ref="O29" si="4">$K$4&amp;I29&amp;$L$4&amp;I29&amp;$M$4</f>
        <v>case "like_full"    like_full=temp</v>
      </c>
    </row>
    <row r="30" spans="1:20" ht="18" customHeight="1" x14ac:dyDescent="0.15">
      <c r="A30" s="5"/>
      <c r="B30" s="5"/>
      <c r="C30"/>
      <c r="D30"/>
      <c r="E30"/>
      <c r="F30"/>
      <c r="I30" s="6" t="s">
        <v>67</v>
      </c>
      <c r="J30" s="2" t="s">
        <v>69</v>
      </c>
      <c r="N30" s="2" t="str">
        <f t="shared" si="2"/>
        <v>public include_full As Variant</v>
      </c>
      <c r="O30" s="2" t="str">
        <f t="shared" ref="O30:O32" si="5">$K$4&amp;I30&amp;$L$4&amp;I30&amp;$M$4</f>
        <v>case "include_full"    include_full=temp</v>
      </c>
    </row>
    <row r="31" spans="1:20" ht="18" customHeight="1" x14ac:dyDescent="0.15">
      <c r="A31" s="5"/>
      <c r="B31" s="5"/>
      <c r="C31"/>
      <c r="D31"/>
      <c r="E31"/>
      <c r="F31"/>
      <c r="I31" s="13" t="s">
        <v>72</v>
      </c>
      <c r="J31" s="4" t="s">
        <v>73</v>
      </c>
      <c r="N31" s="2" t="str">
        <f t="shared" si="2"/>
        <v>public DAO As Variant</v>
      </c>
      <c r="O31" s="2" t="str">
        <f t="shared" si="5"/>
        <v>case "DAO"    DAO=temp</v>
      </c>
    </row>
    <row r="32" spans="1:20" ht="18" customHeight="1" x14ac:dyDescent="0.15">
      <c r="A32" s="5"/>
      <c r="B32" s="5"/>
      <c r="C32"/>
      <c r="D32"/>
      <c r="E32"/>
      <c r="F32"/>
      <c r="I32" s="13" t="s">
        <v>74</v>
      </c>
      <c r="J32" s="14" t="s">
        <v>79</v>
      </c>
      <c r="N32" s="2" t="str">
        <f t="shared" si="2"/>
        <v>public date_formate As Variant</v>
      </c>
      <c r="O32" s="2" t="str">
        <f t="shared" si="5"/>
        <v>case "date_formate"    date_formate=temp</v>
      </c>
    </row>
    <row r="33" spans="1:15" ht="18" customHeight="1" x14ac:dyDescent="0.15">
      <c r="A33" s="5"/>
      <c r="B33" s="5"/>
      <c r="C33"/>
      <c r="D33"/>
      <c r="E33"/>
      <c r="F33"/>
      <c r="I33" s="13" t="s">
        <v>75</v>
      </c>
      <c r="J33" s="4" t="s">
        <v>77</v>
      </c>
      <c r="N33" s="2" t="str">
        <f t="shared" si="2"/>
        <v>public class_entity As Variant</v>
      </c>
      <c r="O33" s="2" t="str">
        <f t="shared" ref="O33:O39" si="6">$K$4&amp;I33&amp;$L$4&amp;I33&amp;$M$4</f>
        <v>case "class_entity"    class_entity=temp</v>
      </c>
    </row>
    <row r="34" spans="1:15" ht="18" customHeight="1" x14ac:dyDescent="0.15">
      <c r="A34" s="5"/>
      <c r="B34" s="5"/>
      <c r="C34"/>
      <c r="D34"/>
      <c r="E34"/>
      <c r="F34"/>
      <c r="I34" s="2" t="s">
        <v>76</v>
      </c>
      <c r="J34" s="4" t="s">
        <v>78</v>
      </c>
      <c r="N34" s="2" t="str">
        <f t="shared" si="2"/>
        <v>public date_msg As Variant</v>
      </c>
      <c r="O34" s="2" t="str">
        <f t="shared" si="6"/>
        <v>case "date_msg"    date_msg=temp</v>
      </c>
    </row>
    <row r="35" spans="1:15" ht="18" customHeight="1" x14ac:dyDescent="0.15">
      <c r="A35" s="5"/>
      <c r="B35" s="5"/>
      <c r="C35"/>
      <c r="D35"/>
      <c r="E35"/>
      <c r="F35"/>
      <c r="I35" s="2" t="s">
        <v>109</v>
      </c>
      <c r="J35" s="4" t="s">
        <v>147</v>
      </c>
      <c r="N35" s="2" t="str">
        <f t="shared" si="2"/>
        <v>public test_java As Variant</v>
      </c>
      <c r="O35" s="2" t="str">
        <f t="shared" si="6"/>
        <v>case "test_java"    test_java=temp</v>
      </c>
    </row>
    <row r="36" spans="1:15" ht="18" customHeight="1" x14ac:dyDescent="0.15">
      <c r="A36" s="5"/>
      <c r="B36" s="5"/>
      <c r="C36"/>
      <c r="D36"/>
      <c r="E36"/>
      <c r="F36"/>
      <c r="I36" s="2" t="s">
        <v>146</v>
      </c>
      <c r="J36" s="4" t="s">
        <v>172</v>
      </c>
      <c r="N36" s="1" t="str">
        <f t="shared" si="2"/>
        <v>public test_msg As Variant</v>
      </c>
      <c r="O36" s="1" t="str">
        <f t="shared" si="6"/>
        <v>case "test_msg"    test_msg=temp</v>
      </c>
    </row>
    <row r="37" spans="1:15" ht="15" customHeight="1" x14ac:dyDescent="0.15">
      <c r="A37" s="5"/>
      <c r="C37"/>
      <c r="D37"/>
      <c r="E37"/>
      <c r="F37"/>
      <c r="I37" s="2" t="s">
        <v>177</v>
      </c>
      <c r="J37" s="4" t="s">
        <v>203</v>
      </c>
      <c r="N37" s="1" t="str">
        <f t="shared" si="2"/>
        <v>public service_java As Variant</v>
      </c>
      <c r="O37" s="1" t="str">
        <f t="shared" si="6"/>
        <v>case "service_java"    service_java=temp</v>
      </c>
    </row>
    <row r="38" spans="1:15" ht="15" customHeight="1" x14ac:dyDescent="0.15">
      <c r="A38" s="5"/>
      <c r="C38"/>
      <c r="D38"/>
      <c r="E38"/>
      <c r="F38"/>
      <c r="I38" s="2" t="s">
        <v>178</v>
      </c>
      <c r="J38" s="4" t="s">
        <v>195</v>
      </c>
      <c r="N38" s="1" t="str">
        <f t="shared" si="2"/>
        <v>public service_msg As Variant</v>
      </c>
      <c r="O38" s="1" t="str">
        <f t="shared" si="6"/>
        <v>case "service_msg"    service_msg=temp</v>
      </c>
    </row>
    <row r="39" spans="1:15" ht="15" customHeight="1" x14ac:dyDescent="0.15">
      <c r="A39" s="5"/>
      <c r="C39"/>
      <c r="D39"/>
      <c r="E39"/>
      <c r="F39"/>
      <c r="I39" s="2" t="s">
        <v>196</v>
      </c>
      <c r="J39" s="4" t="s">
        <v>197</v>
      </c>
      <c r="N39" s="1" t="str">
        <f t="shared" si="2"/>
        <v>public controller_java As Variant</v>
      </c>
      <c r="O39" s="1" t="str">
        <f t="shared" si="6"/>
        <v>case "controller_java"    controller_java=temp</v>
      </c>
    </row>
    <row r="40" spans="1:15" ht="15" customHeight="1" x14ac:dyDescent="0.15">
      <c r="A40" s="5"/>
      <c r="C40"/>
      <c r="D40"/>
      <c r="E40"/>
      <c r="F40"/>
      <c r="I40" s="2" t="s">
        <v>198</v>
      </c>
      <c r="J40" s="4" t="s">
        <v>200</v>
      </c>
      <c r="N40" s="1" t="str">
        <f t="shared" si="2"/>
        <v>public controller_msg As Variant</v>
      </c>
      <c r="O40" s="1" t="str">
        <f t="shared" ref="O40:O42" si="7">$K$4&amp;I40&amp;$L$4&amp;I40&amp;$M$4</f>
        <v>case "controller_msg"    controller_msg=temp</v>
      </c>
    </row>
    <row r="41" spans="1:15" ht="15" customHeight="1" x14ac:dyDescent="0.15">
      <c r="A41" s="5"/>
      <c r="C41"/>
      <c r="D41"/>
      <c r="E41"/>
      <c r="F41"/>
      <c r="I41" s="2" t="s">
        <v>201</v>
      </c>
      <c r="J41" s="4" t="s">
        <v>206</v>
      </c>
      <c r="N41" s="1" t="str">
        <f t="shared" si="2"/>
        <v>public index_jsp As Variant</v>
      </c>
      <c r="O41" s="1" t="str">
        <f t="shared" si="7"/>
        <v>case "index_jsp"    index_jsp=temp</v>
      </c>
    </row>
    <row r="42" spans="1:15" ht="15" customHeight="1" x14ac:dyDescent="0.15">
      <c r="A42" s="5"/>
      <c r="C42"/>
      <c r="D42"/>
      <c r="E42"/>
      <c r="F42"/>
      <c r="I42" s="2" t="s">
        <v>202</v>
      </c>
      <c r="J42" s="4" t="s">
        <v>207</v>
      </c>
      <c r="N42" s="1" t="str">
        <f t="shared" si="2"/>
        <v>public index_msg As Variant</v>
      </c>
      <c r="O42" s="1" t="str">
        <f t="shared" si="7"/>
        <v>case "index_msg"    index_msg=temp</v>
      </c>
    </row>
    <row r="43" spans="1:15" ht="15" customHeight="1" x14ac:dyDescent="0.15">
      <c r="A43" s="5"/>
      <c r="C43"/>
      <c r="D43"/>
      <c r="E43"/>
      <c r="F43"/>
      <c r="J43" s="25"/>
    </row>
    <row r="44" spans="1:15" ht="15" customHeight="1" x14ac:dyDescent="0.15">
      <c r="A44" s="5"/>
      <c r="C44"/>
      <c r="D44"/>
      <c r="E44"/>
      <c r="F44"/>
      <c r="J44" s="25"/>
    </row>
    <row r="45" spans="1:15" ht="15" customHeight="1" x14ac:dyDescent="0.15">
      <c r="A45" s="5"/>
      <c r="C45"/>
      <c r="D45"/>
      <c r="E45"/>
      <c r="F45"/>
      <c r="J45" s="25"/>
    </row>
    <row r="46" spans="1:15" ht="15" customHeight="1" x14ac:dyDescent="0.15">
      <c r="A46" s="5"/>
      <c r="C46"/>
      <c r="D46"/>
      <c r="E46"/>
      <c r="F46"/>
      <c r="J46" s="25"/>
    </row>
    <row r="47" spans="1:15" ht="15" customHeight="1" x14ac:dyDescent="0.15">
      <c r="A47" s="5"/>
      <c r="C47"/>
      <c r="D47"/>
      <c r="E47"/>
      <c r="F47"/>
      <c r="J47" s="25"/>
    </row>
    <row r="48" spans="1:15" ht="15" customHeight="1" x14ac:dyDescent="0.15">
      <c r="A48" s="5"/>
      <c r="C48"/>
      <c r="D48"/>
      <c r="E48"/>
      <c r="F48"/>
      <c r="J48" s="25"/>
    </row>
    <row r="49" spans="1:10" ht="15" customHeight="1" x14ac:dyDescent="0.15">
      <c r="A49" s="5"/>
      <c r="C49"/>
      <c r="D49"/>
      <c r="E49"/>
      <c r="F49"/>
      <c r="J49" s="25"/>
    </row>
    <row r="50" spans="1:10" ht="15" customHeight="1" x14ac:dyDescent="0.15">
      <c r="A50" s="5"/>
      <c r="C50"/>
      <c r="D50"/>
      <c r="E50"/>
      <c r="F50"/>
      <c r="J50" s="25"/>
    </row>
    <row r="51" spans="1:10" ht="15" customHeight="1" x14ac:dyDescent="0.15">
      <c r="A51" s="5"/>
      <c r="C51"/>
      <c r="D51"/>
      <c r="E51"/>
      <c r="F51"/>
      <c r="J51" s="25"/>
    </row>
    <row r="52" spans="1:10" ht="15" customHeight="1" x14ac:dyDescent="0.15">
      <c r="A52" s="5"/>
      <c r="C52"/>
      <c r="D52"/>
      <c r="E52"/>
      <c r="F52"/>
      <c r="J52" s="25"/>
    </row>
    <row r="53" spans="1:10" ht="15" customHeight="1" x14ac:dyDescent="0.15">
      <c r="A53" s="5"/>
      <c r="C53"/>
      <c r="D53"/>
      <c r="E53"/>
      <c r="F53"/>
      <c r="J53" s="25"/>
    </row>
    <row r="54" spans="1:10" ht="15" customHeight="1" x14ac:dyDescent="0.15">
      <c r="A54" s="5"/>
      <c r="C54"/>
      <c r="D54"/>
      <c r="E54"/>
      <c r="F54"/>
      <c r="J54" s="25"/>
    </row>
    <row r="55" spans="1:10" ht="15" customHeight="1" x14ac:dyDescent="0.15">
      <c r="A55" s="5"/>
      <c r="C55"/>
      <c r="D55"/>
      <c r="E55"/>
      <c r="F55"/>
      <c r="J55" s="25"/>
    </row>
    <row r="56" spans="1:10" ht="15" customHeight="1" x14ac:dyDescent="0.15">
      <c r="A56" s="5"/>
      <c r="C56"/>
      <c r="D56"/>
      <c r="E56"/>
      <c r="F56"/>
      <c r="J56" s="25"/>
    </row>
    <row r="57" spans="1:10" ht="15" customHeight="1" x14ac:dyDescent="0.15">
      <c r="A57" s="5"/>
      <c r="C57"/>
      <c r="D57"/>
      <c r="E57"/>
      <c r="F57"/>
      <c r="J57" s="25"/>
    </row>
    <row r="58" spans="1:10" ht="15" customHeight="1" x14ac:dyDescent="0.15">
      <c r="A58" s="5"/>
      <c r="C58"/>
      <c r="D58"/>
      <c r="E58"/>
      <c r="F58"/>
      <c r="J58" s="25"/>
    </row>
    <row r="59" spans="1:10" ht="15" customHeight="1" x14ac:dyDescent="0.15">
      <c r="A59" s="5"/>
      <c r="C59"/>
      <c r="D59"/>
      <c r="E59"/>
      <c r="F59"/>
      <c r="J59" s="25"/>
    </row>
    <row r="60" spans="1:10" ht="15" customHeight="1" x14ac:dyDescent="0.15">
      <c r="A60" s="5"/>
      <c r="C60"/>
      <c r="D60"/>
      <c r="E60"/>
      <c r="F60"/>
      <c r="J60" s="25"/>
    </row>
    <row r="61" spans="1:10" ht="15" customHeight="1" x14ac:dyDescent="0.15">
      <c r="A61" s="5"/>
      <c r="C61"/>
      <c r="D61"/>
      <c r="E61"/>
      <c r="F61"/>
      <c r="J61" s="25"/>
    </row>
    <row r="62" spans="1:10" ht="15" customHeight="1" x14ac:dyDescent="0.15">
      <c r="A62" s="5"/>
      <c r="C62"/>
      <c r="D62"/>
      <c r="E62"/>
      <c r="F62"/>
      <c r="J62" s="25"/>
    </row>
    <row r="63" spans="1:10" ht="15" customHeight="1" x14ac:dyDescent="0.15">
      <c r="A63" s="5"/>
      <c r="C63"/>
      <c r="D63"/>
      <c r="E63"/>
      <c r="F63"/>
      <c r="J63" s="25"/>
    </row>
    <row r="64" spans="1:10" ht="15" customHeight="1" x14ac:dyDescent="0.15">
      <c r="A64" s="5"/>
      <c r="C64"/>
      <c r="D64"/>
      <c r="E64"/>
      <c r="F64"/>
      <c r="J64" s="25"/>
    </row>
    <row r="65" spans="1:10" ht="15" customHeight="1" x14ac:dyDescent="0.15">
      <c r="A65" s="5"/>
      <c r="C65"/>
      <c r="D65"/>
      <c r="E65"/>
      <c r="F65"/>
      <c r="J65" s="25"/>
    </row>
    <row r="66" spans="1:10" ht="15" customHeight="1" x14ac:dyDescent="0.15">
      <c r="A66" s="5"/>
      <c r="C66"/>
      <c r="D66"/>
      <c r="E66"/>
      <c r="F66"/>
      <c r="J66" s="25"/>
    </row>
    <row r="67" spans="1:10" ht="15" customHeight="1" x14ac:dyDescent="0.15">
      <c r="A67" s="5"/>
      <c r="C67"/>
      <c r="D67"/>
      <c r="E67"/>
      <c r="F67"/>
      <c r="J67" s="25"/>
    </row>
    <row r="68" spans="1:10" ht="15" customHeight="1" x14ac:dyDescent="0.15">
      <c r="A68" s="5"/>
      <c r="C68"/>
      <c r="D68"/>
      <c r="E68"/>
      <c r="F68"/>
      <c r="J68" s="25"/>
    </row>
    <row r="69" spans="1:10" ht="15" customHeight="1" x14ac:dyDescent="0.15">
      <c r="A69" s="5"/>
      <c r="C69"/>
      <c r="D69"/>
      <c r="E69"/>
      <c r="F69"/>
      <c r="J69" s="25"/>
    </row>
    <row r="70" spans="1:10" ht="15" customHeight="1" x14ac:dyDescent="0.15">
      <c r="A70" s="5"/>
      <c r="C70"/>
      <c r="D70"/>
      <c r="E70"/>
      <c r="F70"/>
      <c r="J70" s="25"/>
    </row>
    <row r="71" spans="1:10" ht="15" customHeight="1" x14ac:dyDescent="0.15">
      <c r="A71" s="5"/>
      <c r="C71"/>
      <c r="D71"/>
      <c r="E71"/>
      <c r="F71"/>
      <c r="J71" s="25"/>
    </row>
    <row r="72" spans="1:10" ht="15" customHeight="1" x14ac:dyDescent="0.15">
      <c r="A72" s="5"/>
      <c r="C72"/>
      <c r="D72"/>
      <c r="E72"/>
      <c r="F72"/>
      <c r="J72" s="25"/>
    </row>
    <row r="73" spans="1:10" ht="15" customHeight="1" x14ac:dyDescent="0.15">
      <c r="A73" s="5"/>
      <c r="C73"/>
      <c r="D73"/>
      <c r="E73"/>
      <c r="F73"/>
      <c r="J73" s="25"/>
    </row>
    <row r="74" spans="1:10" ht="15" customHeight="1" x14ac:dyDescent="0.15">
      <c r="A74" s="5"/>
      <c r="C74"/>
      <c r="D74"/>
      <c r="E74"/>
      <c r="F74"/>
      <c r="J74" s="25"/>
    </row>
    <row r="75" spans="1:10" ht="15" customHeight="1" x14ac:dyDescent="0.15">
      <c r="A75" s="5"/>
      <c r="C75"/>
      <c r="D75"/>
      <c r="E75"/>
      <c r="F75"/>
      <c r="J75" s="25"/>
    </row>
    <row r="76" spans="1:10" ht="15" customHeight="1" x14ac:dyDescent="0.15">
      <c r="A76" s="5"/>
      <c r="C76"/>
      <c r="D76"/>
      <c r="E76"/>
      <c r="F76"/>
      <c r="J76" s="25"/>
    </row>
    <row r="77" spans="1:10" ht="15" customHeight="1" x14ac:dyDescent="0.15">
      <c r="A77" s="5"/>
      <c r="C77"/>
      <c r="D77"/>
      <c r="E77"/>
      <c r="F77"/>
      <c r="J77" s="25"/>
    </row>
    <row r="78" spans="1:10" ht="15" customHeight="1" x14ac:dyDescent="0.15">
      <c r="A78" s="5"/>
      <c r="C78"/>
      <c r="D78"/>
      <c r="E78"/>
      <c r="F78"/>
      <c r="J78" s="25"/>
    </row>
    <row r="79" spans="1:10" ht="15" customHeight="1" x14ac:dyDescent="0.15">
      <c r="A79" s="5"/>
      <c r="C79"/>
      <c r="D79"/>
      <c r="E79"/>
      <c r="F79"/>
      <c r="J79" s="25"/>
    </row>
    <row r="80" spans="1:10" ht="15" customHeight="1" x14ac:dyDescent="0.15">
      <c r="A80" s="5"/>
      <c r="C80"/>
      <c r="D80"/>
      <c r="E80"/>
      <c r="F80"/>
      <c r="J80" s="25"/>
    </row>
    <row r="81" spans="1:10" ht="15" customHeight="1" x14ac:dyDescent="0.15">
      <c r="A81" s="5"/>
      <c r="C81"/>
      <c r="D81"/>
      <c r="E81"/>
      <c r="F81"/>
      <c r="J81" s="25"/>
    </row>
    <row r="82" spans="1:10" ht="15" customHeight="1" x14ac:dyDescent="0.15">
      <c r="A82" s="5"/>
      <c r="C82"/>
      <c r="D82"/>
      <c r="E82"/>
      <c r="F82"/>
      <c r="J82" s="25"/>
    </row>
    <row r="83" spans="1:10" ht="15" customHeight="1" x14ac:dyDescent="0.15">
      <c r="A83" s="5"/>
      <c r="C83"/>
      <c r="D83"/>
      <c r="E83"/>
      <c r="F83"/>
      <c r="J83" s="25"/>
    </row>
    <row r="84" spans="1:10" ht="15" customHeight="1" x14ac:dyDescent="0.15">
      <c r="A84" s="5"/>
      <c r="C84"/>
      <c r="D84"/>
      <c r="E84"/>
      <c r="F84"/>
      <c r="J84" s="25"/>
    </row>
    <row r="85" spans="1:10" ht="15" customHeight="1" x14ac:dyDescent="0.15">
      <c r="A85" s="5"/>
      <c r="C85"/>
      <c r="D85"/>
      <c r="E85"/>
      <c r="F85"/>
      <c r="J85" s="25"/>
    </row>
    <row r="86" spans="1:10" ht="15" customHeight="1" x14ac:dyDescent="0.15">
      <c r="A86" s="5"/>
      <c r="C86"/>
      <c r="D86"/>
      <c r="E86"/>
      <c r="F86"/>
      <c r="J86" s="25"/>
    </row>
    <row r="87" spans="1:10" ht="15" customHeight="1" x14ac:dyDescent="0.15">
      <c r="A87" s="5"/>
      <c r="C87"/>
      <c r="D87"/>
      <c r="E87"/>
      <c r="F87"/>
      <c r="J87" s="25"/>
    </row>
    <row r="88" spans="1:10" ht="15" customHeight="1" x14ac:dyDescent="0.15">
      <c r="A88" s="5"/>
      <c r="C88"/>
      <c r="D88"/>
      <c r="E88"/>
      <c r="F88"/>
      <c r="J88" s="25"/>
    </row>
    <row r="89" spans="1:10" ht="15" customHeight="1" x14ac:dyDescent="0.15">
      <c r="A89" s="5"/>
      <c r="C89"/>
      <c r="D89"/>
      <c r="E89"/>
      <c r="F89"/>
      <c r="J89" s="25"/>
    </row>
    <row r="90" spans="1:10" ht="15" customHeight="1" x14ac:dyDescent="0.15">
      <c r="A90" s="5"/>
      <c r="C90"/>
      <c r="D90"/>
      <c r="E90"/>
      <c r="F90"/>
      <c r="J90" s="25"/>
    </row>
    <row r="91" spans="1:10" ht="15" customHeight="1" x14ac:dyDescent="0.15">
      <c r="A91" s="5"/>
      <c r="C91"/>
      <c r="D91"/>
      <c r="E91"/>
      <c r="F91"/>
      <c r="J91" s="25"/>
    </row>
    <row r="92" spans="1:10" ht="15" customHeight="1" x14ac:dyDescent="0.15">
      <c r="A92" s="5"/>
      <c r="C92"/>
      <c r="D92"/>
      <c r="E92"/>
      <c r="F92"/>
      <c r="J92" s="25"/>
    </row>
    <row r="93" spans="1:10" ht="15" customHeight="1" x14ac:dyDescent="0.15">
      <c r="A93" s="5"/>
      <c r="C93"/>
      <c r="D93"/>
      <c r="E93"/>
      <c r="F93"/>
      <c r="J93" s="25"/>
    </row>
    <row r="94" spans="1:10" ht="15" customHeight="1" x14ac:dyDescent="0.15">
      <c r="A94" s="5"/>
      <c r="C94"/>
      <c r="D94"/>
      <c r="E94"/>
      <c r="F94"/>
      <c r="J94" s="25"/>
    </row>
    <row r="95" spans="1:10" ht="15" customHeight="1" x14ac:dyDescent="0.15">
      <c r="A95" s="5"/>
      <c r="C95"/>
      <c r="D95"/>
      <c r="E95"/>
      <c r="F95"/>
      <c r="J95" s="25"/>
    </row>
    <row r="96" spans="1:10" ht="15" customHeight="1" x14ac:dyDescent="0.15">
      <c r="A96" s="5"/>
      <c r="C96"/>
      <c r="D96"/>
      <c r="E96"/>
      <c r="F96"/>
      <c r="J96" s="25"/>
    </row>
    <row r="97" spans="1:10" ht="15" customHeight="1" x14ac:dyDescent="0.15">
      <c r="A97" s="5"/>
      <c r="C97"/>
      <c r="D97"/>
      <c r="E97"/>
      <c r="F97"/>
      <c r="J97" s="25"/>
    </row>
    <row r="98" spans="1:10" ht="15" customHeight="1" x14ac:dyDescent="0.15">
      <c r="A98" s="5"/>
      <c r="C98"/>
      <c r="D98"/>
      <c r="E98"/>
      <c r="F98"/>
      <c r="J98" s="25"/>
    </row>
    <row r="99" spans="1:10" ht="15" customHeight="1" x14ac:dyDescent="0.15">
      <c r="A99" s="5"/>
      <c r="C99"/>
      <c r="D99"/>
      <c r="E99"/>
      <c r="F99"/>
      <c r="J99" s="25"/>
    </row>
    <row r="100" spans="1:10" ht="15" customHeight="1" x14ac:dyDescent="0.15">
      <c r="A100" s="5"/>
      <c r="C100"/>
      <c r="D100"/>
      <c r="E100"/>
      <c r="F100"/>
      <c r="J100" s="25"/>
    </row>
    <row r="101" spans="1:10" ht="15" customHeight="1" x14ac:dyDescent="0.15">
      <c r="A101" s="5"/>
      <c r="C101"/>
      <c r="D101"/>
      <c r="E101"/>
      <c r="F101"/>
      <c r="J101" s="25"/>
    </row>
    <row r="102" spans="1:10" ht="15" customHeight="1" x14ac:dyDescent="0.15">
      <c r="A102" s="5"/>
      <c r="C102"/>
      <c r="D102"/>
      <c r="E102"/>
      <c r="F102"/>
      <c r="J102" s="25"/>
    </row>
    <row r="103" spans="1:10" ht="15" customHeight="1" x14ac:dyDescent="0.15">
      <c r="A103" s="5"/>
      <c r="J103" s="25"/>
    </row>
    <row r="104" spans="1:10" ht="15" customHeight="1" x14ac:dyDescent="0.15">
      <c r="A104" s="5"/>
      <c r="J104" s="25"/>
    </row>
    <row r="105" spans="1:10" ht="15" customHeight="1" x14ac:dyDescent="0.15">
      <c r="A105" s="5"/>
      <c r="J105" s="25"/>
    </row>
    <row r="106" spans="1:10" ht="15" customHeight="1" x14ac:dyDescent="0.15">
      <c r="A106" s="5"/>
      <c r="J106" s="25"/>
    </row>
    <row r="107" spans="1:10" ht="15" customHeight="1" x14ac:dyDescent="0.15">
      <c r="A107" s="5"/>
      <c r="J107" s="25"/>
    </row>
    <row r="108" spans="1:10" ht="15" customHeight="1" x14ac:dyDescent="0.15">
      <c r="A108" s="5"/>
      <c r="J108" s="25"/>
    </row>
    <row r="109" spans="1:10" ht="15" customHeight="1" x14ac:dyDescent="0.15">
      <c r="A109" s="5"/>
      <c r="J109" s="25"/>
    </row>
    <row r="110" spans="1:10" ht="15" customHeight="1" x14ac:dyDescent="0.15">
      <c r="A110" s="5"/>
      <c r="J110" s="25"/>
    </row>
    <row r="111" spans="1:10" ht="15" customHeight="1" x14ac:dyDescent="0.15">
      <c r="A111" s="5"/>
      <c r="J111" s="25"/>
    </row>
    <row r="112" spans="1:10" ht="15" customHeight="1" x14ac:dyDescent="0.15">
      <c r="A112" s="5"/>
      <c r="J112" s="25"/>
    </row>
    <row r="113" spans="1:10" ht="15" customHeight="1" x14ac:dyDescent="0.15">
      <c r="A113" s="5"/>
      <c r="J113" s="25"/>
    </row>
    <row r="114" spans="1:10" ht="15" customHeight="1" x14ac:dyDescent="0.15">
      <c r="A114" s="5"/>
      <c r="J114" s="25"/>
    </row>
    <row r="115" spans="1:10" ht="15" customHeight="1" x14ac:dyDescent="0.15">
      <c r="A115" s="5"/>
      <c r="J115" s="25"/>
    </row>
    <row r="116" spans="1:10" ht="15" customHeight="1" x14ac:dyDescent="0.15">
      <c r="A116" s="5"/>
      <c r="J116" s="25"/>
    </row>
    <row r="117" spans="1:10" ht="15" customHeight="1" x14ac:dyDescent="0.15">
      <c r="A117" s="5"/>
      <c r="J117" s="25"/>
    </row>
    <row r="118" spans="1:10" ht="15" customHeight="1" x14ac:dyDescent="0.15">
      <c r="A118" s="5"/>
      <c r="J118" s="25"/>
    </row>
    <row r="119" spans="1:10" ht="15" customHeight="1" x14ac:dyDescent="0.15">
      <c r="A119" s="5"/>
      <c r="J119" s="25"/>
    </row>
    <row r="120" spans="1:10" ht="15" customHeight="1" x14ac:dyDescent="0.15">
      <c r="A120" s="5"/>
      <c r="J120" s="25"/>
    </row>
    <row r="121" spans="1:10" ht="15" customHeight="1" x14ac:dyDescent="0.15">
      <c r="A121" s="5"/>
      <c r="J121" s="25"/>
    </row>
    <row r="122" spans="1:10" ht="15" customHeight="1" x14ac:dyDescent="0.15">
      <c r="A122" s="5"/>
      <c r="J122" s="25"/>
    </row>
    <row r="123" spans="1:10" ht="15" customHeight="1" x14ac:dyDescent="0.15">
      <c r="A123" s="5"/>
      <c r="J123" s="25"/>
    </row>
    <row r="124" spans="1:10" ht="15" customHeight="1" x14ac:dyDescent="0.15">
      <c r="A124" s="5"/>
      <c r="J124" s="25"/>
    </row>
    <row r="125" spans="1:10" ht="15" customHeight="1" x14ac:dyDescent="0.15">
      <c r="A125" s="5"/>
      <c r="J125" s="25"/>
    </row>
    <row r="126" spans="1:10" ht="15" customHeight="1" x14ac:dyDescent="0.15">
      <c r="A126" s="5"/>
      <c r="J126" s="25"/>
    </row>
    <row r="127" spans="1:10" ht="15" customHeight="1" x14ac:dyDescent="0.15">
      <c r="A127" s="5"/>
      <c r="J127" s="25"/>
    </row>
    <row r="128" spans="1:10" ht="15" customHeight="1" x14ac:dyDescent="0.15">
      <c r="A128" s="5"/>
      <c r="J128" s="25"/>
    </row>
    <row r="129" spans="1:10" ht="15" customHeight="1" x14ac:dyDescent="0.15">
      <c r="A129" s="5"/>
      <c r="J129" s="25"/>
    </row>
    <row r="130" spans="1:10" ht="15" customHeight="1" x14ac:dyDescent="0.15">
      <c r="A130" s="5"/>
      <c r="J130" s="25"/>
    </row>
    <row r="131" spans="1:10" ht="15" customHeight="1" x14ac:dyDescent="0.15">
      <c r="A131" s="5"/>
      <c r="J131" s="25"/>
    </row>
    <row r="132" spans="1:10" ht="15" customHeight="1" x14ac:dyDescent="0.15">
      <c r="A132" s="5"/>
      <c r="J132" s="25"/>
    </row>
    <row r="133" spans="1:10" ht="15" customHeight="1" x14ac:dyDescent="0.15">
      <c r="A133" s="5"/>
      <c r="J133" s="25"/>
    </row>
    <row r="134" spans="1:10" ht="15" customHeight="1" x14ac:dyDescent="0.15">
      <c r="A134" s="5"/>
      <c r="J134" s="25"/>
    </row>
    <row r="135" spans="1:10" ht="15" customHeight="1" x14ac:dyDescent="0.15">
      <c r="A135" s="5"/>
      <c r="J135" s="25"/>
    </row>
    <row r="136" spans="1:10" ht="15" customHeight="1" x14ac:dyDescent="0.15">
      <c r="A136" s="5"/>
      <c r="J136" s="25"/>
    </row>
    <row r="137" spans="1:10" ht="15" customHeight="1" x14ac:dyDescent="0.15">
      <c r="A137" s="5"/>
    </row>
    <row r="138" spans="1:10" ht="15" customHeight="1" x14ac:dyDescent="0.15">
      <c r="A138" s="5"/>
    </row>
    <row r="139" spans="1:10" ht="15" customHeight="1" x14ac:dyDescent="0.15">
      <c r="A139" s="5"/>
    </row>
    <row r="140" spans="1:10" ht="15" customHeight="1" x14ac:dyDescent="0.15">
      <c r="A140" s="5"/>
    </row>
    <row r="141" spans="1:10" ht="15" customHeight="1" x14ac:dyDescent="0.15">
      <c r="A141" s="5"/>
    </row>
    <row r="142" spans="1:10" ht="15" customHeight="1" x14ac:dyDescent="0.15">
      <c r="A142" s="5"/>
    </row>
  </sheetData>
  <mergeCells count="3">
    <mergeCell ref="I2:J2"/>
    <mergeCell ref="C2:F2"/>
    <mergeCell ref="Q2:T25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95250</xdr:colOff>
                    <xdr:row>5</xdr:row>
                    <xdr:rowOff>38100</xdr:rowOff>
                  </from>
                  <to>
                    <xdr:col>7</xdr:col>
                    <xdr:colOff>304800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输出main">
                <anchor moveWithCells="1" sizeWithCells="1">
                  <from>
                    <xdr:col>6</xdr:col>
                    <xdr:colOff>85725</xdr:colOff>
                    <xdr:row>7</xdr:row>
                    <xdr:rowOff>0</xdr:rowOff>
                  </from>
                  <to>
                    <xdr:col>7</xdr:col>
                    <xdr:colOff>314325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_all">
                <anchor moveWithCells="1" sizeWithCells="1">
                  <from>
                    <xdr:col>6</xdr:col>
                    <xdr:colOff>104775</xdr:colOff>
                    <xdr:row>9</xdr:row>
                    <xdr:rowOff>152400</xdr:rowOff>
                  </from>
                  <to>
                    <xdr:col>7</xdr:col>
                    <xdr:colOff>333375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31"/>
  <sheetViews>
    <sheetView tabSelected="1" topLeftCell="A7" workbookViewId="0">
      <selection activeCell="G22" sqref="G22"/>
    </sheetView>
  </sheetViews>
  <sheetFormatPr defaultRowHeight="13.5" x14ac:dyDescent="0.15"/>
  <cols>
    <col min="1" max="1" width="13.5" customWidth="1"/>
    <col min="2" max="2" width="20.25" customWidth="1"/>
    <col min="3" max="3" width="5.375" customWidth="1"/>
    <col min="4" max="4" width="66.5" customWidth="1"/>
    <col min="6" max="6" width="9.75" customWidth="1"/>
    <col min="7" max="7" width="29.375" style="24" customWidth="1"/>
  </cols>
  <sheetData>
    <row r="2" spans="1:7" ht="20.100000000000001" customHeight="1" x14ac:dyDescent="0.15">
      <c r="A2" s="44" t="s">
        <v>95</v>
      </c>
      <c r="B2" s="44"/>
      <c r="D2" s="20" t="s">
        <v>86</v>
      </c>
      <c r="F2" s="38">
        <v>43105</v>
      </c>
      <c r="G2" s="22" t="s">
        <v>96</v>
      </c>
    </row>
    <row r="3" spans="1:7" ht="20.100000000000001" customHeight="1" x14ac:dyDescent="0.15">
      <c r="A3" s="44" t="s">
        <v>53</v>
      </c>
      <c r="B3" s="12" t="s">
        <v>47</v>
      </c>
      <c r="D3" s="41" t="s">
        <v>112</v>
      </c>
      <c r="F3" s="39"/>
      <c r="G3" s="22" t="s">
        <v>97</v>
      </c>
    </row>
    <row r="4" spans="1:7" ht="20.100000000000001" customHeight="1" x14ac:dyDescent="0.15">
      <c r="A4" s="44"/>
      <c r="B4" s="12" t="s">
        <v>48</v>
      </c>
      <c r="D4" s="42"/>
      <c r="F4" s="40"/>
      <c r="G4" s="22" t="s">
        <v>108</v>
      </c>
    </row>
    <row r="5" spans="1:7" ht="20.100000000000001" customHeight="1" x14ac:dyDescent="0.15">
      <c r="A5" s="44" t="s">
        <v>54</v>
      </c>
      <c r="B5" s="12" t="s">
        <v>49</v>
      </c>
      <c r="D5" s="42"/>
      <c r="F5" s="38">
        <v>43106</v>
      </c>
      <c r="G5" s="22" t="s">
        <v>105</v>
      </c>
    </row>
    <row r="6" spans="1:7" ht="20.100000000000001" customHeight="1" x14ac:dyDescent="0.15">
      <c r="A6" s="44"/>
      <c r="B6" s="12" t="s">
        <v>50</v>
      </c>
      <c r="D6" s="42"/>
      <c r="F6" s="39"/>
      <c r="G6" s="22" t="s">
        <v>107</v>
      </c>
    </row>
    <row r="7" spans="1:7" ht="20.100000000000001" customHeight="1" x14ac:dyDescent="0.15">
      <c r="A7" s="44" t="s">
        <v>55</v>
      </c>
      <c r="B7" s="12" t="s">
        <v>51</v>
      </c>
      <c r="D7" s="42"/>
      <c r="F7" s="39"/>
      <c r="G7" s="37" t="s">
        <v>106</v>
      </c>
    </row>
    <row r="8" spans="1:7" ht="20.100000000000001" customHeight="1" x14ac:dyDescent="0.15">
      <c r="A8" s="44"/>
      <c r="B8" s="12" t="s">
        <v>52</v>
      </c>
      <c r="C8" s="18"/>
      <c r="D8" s="42"/>
      <c r="F8" s="39"/>
      <c r="G8" s="37"/>
    </row>
    <row r="9" spans="1:7" ht="20.100000000000001" customHeight="1" x14ac:dyDescent="0.15">
      <c r="A9" s="44" t="s">
        <v>56</v>
      </c>
      <c r="B9" s="10" t="s">
        <v>57</v>
      </c>
      <c r="C9" s="18"/>
      <c r="D9" s="42"/>
      <c r="F9" s="40"/>
      <c r="G9" s="23" t="s">
        <v>111</v>
      </c>
    </row>
    <row r="10" spans="1:7" ht="20.100000000000001" customHeight="1" x14ac:dyDescent="0.15">
      <c r="A10" s="44"/>
      <c r="B10" s="10" t="s">
        <v>58</v>
      </c>
      <c r="C10" s="19"/>
      <c r="D10" s="42"/>
      <c r="F10" s="38">
        <v>43107</v>
      </c>
      <c r="G10" s="23" t="s">
        <v>113</v>
      </c>
    </row>
    <row r="11" spans="1:7" ht="20.100000000000001" customHeight="1" x14ac:dyDescent="0.15">
      <c r="A11" s="44"/>
      <c r="B11" s="12" t="s">
        <v>63</v>
      </c>
      <c r="C11" s="19"/>
      <c r="D11" s="42"/>
      <c r="F11" s="45"/>
      <c r="G11" s="23" t="s">
        <v>144</v>
      </c>
    </row>
    <row r="12" spans="1:7" ht="20.100000000000001" customHeight="1" x14ac:dyDescent="0.15">
      <c r="C12" s="18"/>
      <c r="D12" s="42"/>
      <c r="F12" s="54">
        <v>43108</v>
      </c>
      <c r="G12" s="23" t="s">
        <v>192</v>
      </c>
    </row>
    <row r="13" spans="1:7" ht="20.100000000000001" customHeight="1" x14ac:dyDescent="0.15">
      <c r="C13" s="18"/>
      <c r="D13" s="42"/>
      <c r="F13" s="54"/>
      <c r="G13" s="23" t="s">
        <v>193</v>
      </c>
    </row>
    <row r="14" spans="1:7" ht="20.100000000000001" customHeight="1" x14ac:dyDescent="0.15">
      <c r="C14" s="18"/>
      <c r="D14" s="42"/>
      <c r="F14" s="54"/>
      <c r="G14" s="23" t="s">
        <v>194</v>
      </c>
    </row>
    <row r="15" spans="1:7" ht="20.100000000000001" customHeight="1" x14ac:dyDescent="0.15">
      <c r="C15" s="18"/>
      <c r="D15" s="42"/>
      <c r="F15" s="54"/>
      <c r="G15" s="2" t="s">
        <v>210</v>
      </c>
    </row>
    <row r="16" spans="1:7" ht="20.100000000000001" customHeight="1" x14ac:dyDescent="0.15">
      <c r="D16" s="42"/>
      <c r="F16" s="54"/>
      <c r="G16" s="2" t="s">
        <v>211</v>
      </c>
    </row>
    <row r="17" spans="4:7" ht="20.100000000000001" customHeight="1" x14ac:dyDescent="0.15">
      <c r="D17" s="42"/>
      <c r="F17" s="55"/>
      <c r="G17" s="23" t="s">
        <v>212</v>
      </c>
    </row>
    <row r="18" spans="4:7" ht="20.100000000000001" customHeight="1" x14ac:dyDescent="0.15">
      <c r="D18" s="42"/>
      <c r="F18" s="56"/>
      <c r="G18" s="23" t="s">
        <v>213</v>
      </c>
    </row>
    <row r="19" spans="4:7" ht="20.100000000000001" customHeight="1" x14ac:dyDescent="0.15">
      <c r="D19" s="42"/>
    </row>
    <row r="20" spans="4:7" ht="20.100000000000001" customHeight="1" x14ac:dyDescent="0.15">
      <c r="D20" s="43"/>
    </row>
    <row r="21" spans="4:7" ht="20.100000000000001" customHeight="1" x14ac:dyDescent="0.15"/>
    <row r="22" spans="4:7" ht="20.100000000000001" customHeight="1" x14ac:dyDescent="0.15"/>
    <row r="23" spans="4:7" ht="20.100000000000001" customHeight="1" x14ac:dyDescent="0.15"/>
    <row r="24" spans="4:7" ht="20.100000000000001" customHeight="1" x14ac:dyDescent="0.15"/>
    <row r="25" spans="4:7" ht="20.100000000000001" customHeight="1" x14ac:dyDescent="0.15"/>
    <row r="26" spans="4:7" ht="20.100000000000001" customHeight="1" x14ac:dyDescent="0.15"/>
    <row r="27" spans="4:7" ht="20.100000000000001" customHeight="1" x14ac:dyDescent="0.15"/>
    <row r="28" spans="4:7" ht="20.100000000000001" customHeight="1" x14ac:dyDescent="0.15"/>
    <row r="29" spans="4:7" ht="20.100000000000001" customHeight="1" x14ac:dyDescent="0.15"/>
    <row r="30" spans="4:7" ht="20.100000000000001" customHeight="1" x14ac:dyDescent="0.15"/>
    <row r="31" spans="4:7" ht="20.100000000000001" customHeight="1" x14ac:dyDescent="0.15"/>
  </sheetData>
  <mergeCells count="12">
    <mergeCell ref="G7:G8"/>
    <mergeCell ref="F2:F4"/>
    <mergeCell ref="F5:F9"/>
    <mergeCell ref="D3:D20"/>
    <mergeCell ref="A3:A4"/>
    <mergeCell ref="A5:A6"/>
    <mergeCell ref="A7:A8"/>
    <mergeCell ref="A2:B2"/>
    <mergeCell ref="A9:A11"/>
    <mergeCell ref="F10:F11"/>
    <mergeCell ref="F12:F16"/>
    <mergeCell ref="F17:F1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6"/>
  <sheetViews>
    <sheetView workbookViewId="0">
      <selection activeCell="H17" sqref="H17"/>
    </sheetView>
  </sheetViews>
  <sheetFormatPr defaultRowHeight="13.5" x14ac:dyDescent="0.15"/>
  <cols>
    <col min="1" max="1" width="17.875" customWidth="1"/>
    <col min="5" max="5" width="16.875" customWidth="1"/>
    <col min="8" max="8" width="10.375" customWidth="1"/>
    <col min="9" max="9" width="12.625" customWidth="1"/>
  </cols>
  <sheetData>
    <row r="1" spans="1:24" ht="21" customHeight="1" x14ac:dyDescent="0.15">
      <c r="A1" s="47" t="s">
        <v>185</v>
      </c>
      <c r="B1" s="47"/>
      <c r="C1" s="47"/>
      <c r="D1" s="47"/>
      <c r="E1" s="47"/>
      <c r="F1" s="47"/>
      <c r="G1" s="47"/>
      <c r="H1" s="47"/>
    </row>
    <row r="2" spans="1:24" x14ac:dyDescent="0.15">
      <c r="A2" s="6" t="s">
        <v>176</v>
      </c>
      <c r="B2" s="6" t="s">
        <v>181</v>
      </c>
      <c r="C2" s="6"/>
      <c r="D2" s="6"/>
      <c r="E2" s="6" t="s">
        <v>175</v>
      </c>
      <c r="F2" s="6" t="s">
        <v>181</v>
      </c>
      <c r="G2" s="6"/>
      <c r="H2" s="6"/>
      <c r="I2" s="6" t="s">
        <v>174</v>
      </c>
      <c r="J2" s="6" t="s">
        <v>181</v>
      </c>
      <c r="K2" s="6"/>
      <c r="L2" s="6"/>
      <c r="M2" s="6" t="s">
        <v>173</v>
      </c>
      <c r="N2" s="6" t="s">
        <v>181</v>
      </c>
      <c r="O2" s="6"/>
      <c r="P2" s="6"/>
      <c r="Q2" s="48" t="s">
        <v>180</v>
      </c>
      <c r="R2" s="6" t="s">
        <v>182</v>
      </c>
      <c r="S2" s="6"/>
      <c r="T2" s="6"/>
      <c r="U2" s="6" t="s">
        <v>183</v>
      </c>
      <c r="V2" s="6" t="s">
        <v>182</v>
      </c>
      <c r="W2" s="6"/>
      <c r="X2" s="6"/>
    </row>
    <row r="3" spans="1:24" x14ac:dyDescent="0.15">
      <c r="A3" s="21" t="s">
        <v>87</v>
      </c>
      <c r="B3" s="21" t="s">
        <v>88</v>
      </c>
      <c r="C3" s="21" t="s">
        <v>114</v>
      </c>
      <c r="D3" s="21" t="s">
        <v>184</v>
      </c>
      <c r="E3" s="21" t="s">
        <v>87</v>
      </c>
      <c r="F3" s="21" t="s">
        <v>88</v>
      </c>
      <c r="G3" s="21" t="s">
        <v>114</v>
      </c>
      <c r="H3" s="21" t="s">
        <v>89</v>
      </c>
      <c r="I3" s="21" t="s">
        <v>87</v>
      </c>
      <c r="J3" s="21" t="s">
        <v>88</v>
      </c>
      <c r="K3" s="21" t="s">
        <v>114</v>
      </c>
      <c r="L3" s="21" t="s">
        <v>89</v>
      </c>
      <c r="M3" s="21" t="s">
        <v>87</v>
      </c>
      <c r="N3" s="21" t="s">
        <v>88</v>
      </c>
      <c r="O3" s="21" t="s">
        <v>114</v>
      </c>
      <c r="P3" s="21" t="s">
        <v>89</v>
      </c>
      <c r="Q3" s="46" t="s">
        <v>87</v>
      </c>
      <c r="R3" s="21" t="s">
        <v>88</v>
      </c>
      <c r="S3" s="21" t="s">
        <v>114</v>
      </c>
      <c r="T3" s="21" t="s">
        <v>89</v>
      </c>
      <c r="U3" s="21" t="s">
        <v>87</v>
      </c>
      <c r="V3" s="21" t="s">
        <v>88</v>
      </c>
      <c r="W3" s="21" t="s">
        <v>114</v>
      </c>
      <c r="X3" s="21" t="s">
        <v>89</v>
      </c>
    </row>
    <row r="4" spans="1:24" x14ac:dyDescent="0.15">
      <c r="A4" s="21" t="s">
        <v>115</v>
      </c>
      <c r="B4" s="21" t="s">
        <v>90</v>
      </c>
      <c r="C4" s="21" t="s">
        <v>117</v>
      </c>
      <c r="D4" s="21" t="s">
        <v>91</v>
      </c>
      <c r="E4" s="21" t="s">
        <v>2</v>
      </c>
      <c r="F4" s="21" t="s">
        <v>90</v>
      </c>
      <c r="G4" s="21"/>
      <c r="H4" s="21" t="s">
        <v>89</v>
      </c>
      <c r="I4" s="21" t="s">
        <v>2</v>
      </c>
      <c r="J4" s="21" t="s">
        <v>90</v>
      </c>
      <c r="K4" s="21"/>
      <c r="L4" s="21" t="s">
        <v>89</v>
      </c>
      <c r="M4" s="21" t="s">
        <v>2</v>
      </c>
      <c r="N4" s="21" t="s">
        <v>90</v>
      </c>
      <c r="O4" s="21"/>
      <c r="P4" s="21" t="s">
        <v>89</v>
      </c>
      <c r="Q4" s="46" t="s">
        <v>155</v>
      </c>
      <c r="R4" s="21" t="s">
        <v>90</v>
      </c>
      <c r="S4" s="21" t="s">
        <v>117</v>
      </c>
      <c r="T4" s="21" t="s">
        <v>89</v>
      </c>
      <c r="U4" s="21" t="s">
        <v>156</v>
      </c>
      <c r="V4" s="21" t="s">
        <v>90</v>
      </c>
      <c r="W4" s="21" t="s">
        <v>117</v>
      </c>
      <c r="X4" s="21" t="s">
        <v>89</v>
      </c>
    </row>
    <row r="5" spans="1:24" x14ac:dyDescent="0.15">
      <c r="A5" s="21" t="s">
        <v>116</v>
      </c>
      <c r="B5" s="21" t="s">
        <v>92</v>
      </c>
      <c r="C5" s="21"/>
      <c r="D5" s="21"/>
      <c r="E5" s="21" t="s">
        <v>148</v>
      </c>
      <c r="F5" s="21" t="s">
        <v>92</v>
      </c>
      <c r="G5" s="21"/>
      <c r="H5" s="21" t="s">
        <v>91</v>
      </c>
      <c r="I5" s="21" t="s">
        <v>161</v>
      </c>
      <c r="J5" s="21" t="s">
        <v>90</v>
      </c>
      <c r="K5" s="21"/>
      <c r="L5" s="21" t="s">
        <v>91</v>
      </c>
      <c r="M5" s="21" t="s">
        <v>167</v>
      </c>
      <c r="N5" s="21" t="s">
        <v>90</v>
      </c>
      <c r="O5" s="21"/>
      <c r="P5" s="21" t="s">
        <v>91</v>
      </c>
      <c r="Q5" s="46"/>
      <c r="R5" s="21"/>
      <c r="S5" s="21"/>
      <c r="T5" s="21"/>
      <c r="U5" s="21" t="s">
        <v>157</v>
      </c>
      <c r="V5" s="21" t="s">
        <v>88</v>
      </c>
      <c r="W5" s="21"/>
      <c r="X5" s="21" t="s">
        <v>91</v>
      </c>
    </row>
    <row r="6" spans="1:24" x14ac:dyDescent="0.15">
      <c r="A6" s="21" t="s">
        <v>2</v>
      </c>
      <c r="B6" s="21" t="s">
        <v>90</v>
      </c>
      <c r="C6" s="21"/>
      <c r="D6" s="21"/>
      <c r="E6" s="21" t="s">
        <v>149</v>
      </c>
      <c r="F6" s="21" t="s">
        <v>90</v>
      </c>
      <c r="G6" s="21"/>
      <c r="H6" s="21" t="s">
        <v>91</v>
      </c>
      <c r="I6" s="21" t="s">
        <v>162</v>
      </c>
      <c r="J6" s="21" t="s">
        <v>90</v>
      </c>
      <c r="K6" s="21"/>
      <c r="L6" s="21" t="s">
        <v>91</v>
      </c>
      <c r="M6" s="21" t="s">
        <v>168</v>
      </c>
      <c r="N6" s="21" t="s">
        <v>90</v>
      </c>
      <c r="O6" s="21"/>
      <c r="P6" s="21" t="s">
        <v>91</v>
      </c>
      <c r="Q6" s="46"/>
      <c r="R6" s="21"/>
      <c r="S6" s="21"/>
      <c r="T6" s="21"/>
      <c r="U6" s="21" t="s">
        <v>158</v>
      </c>
      <c r="V6" s="21" t="s">
        <v>88</v>
      </c>
      <c r="W6" s="21"/>
      <c r="X6" s="21" t="s">
        <v>91</v>
      </c>
    </row>
    <row r="7" spans="1:24" x14ac:dyDescent="0.15">
      <c r="A7" s="21" t="s">
        <v>118</v>
      </c>
      <c r="B7" s="21" t="s">
        <v>93</v>
      </c>
      <c r="C7" s="21"/>
      <c r="D7" s="21"/>
      <c r="E7" s="21" t="s">
        <v>150</v>
      </c>
      <c r="F7" s="21" t="s">
        <v>93</v>
      </c>
      <c r="G7" s="21"/>
      <c r="H7" s="21" t="s">
        <v>91</v>
      </c>
      <c r="I7" s="21" t="s">
        <v>163</v>
      </c>
      <c r="J7" s="21" t="s">
        <v>92</v>
      </c>
      <c r="K7" s="21"/>
      <c r="L7" s="21" t="s">
        <v>91</v>
      </c>
      <c r="M7" s="21" t="s">
        <v>169</v>
      </c>
      <c r="N7" s="21" t="s">
        <v>90</v>
      </c>
      <c r="O7" s="21"/>
      <c r="P7" s="21" t="s">
        <v>91</v>
      </c>
      <c r="Q7" s="46"/>
      <c r="R7" s="21"/>
      <c r="S7" s="21"/>
      <c r="T7" s="21"/>
      <c r="U7" s="21" t="s">
        <v>159</v>
      </c>
      <c r="V7" s="21" t="s">
        <v>90</v>
      </c>
      <c r="W7" s="21" t="s">
        <v>117</v>
      </c>
      <c r="X7" s="21" t="s">
        <v>91</v>
      </c>
    </row>
    <row r="8" spans="1:24" x14ac:dyDescent="0.15">
      <c r="A8" s="21" t="s">
        <v>119</v>
      </c>
      <c r="B8" s="21" t="s">
        <v>90</v>
      </c>
      <c r="C8" s="21"/>
      <c r="D8" s="21"/>
      <c r="E8" s="21" t="s">
        <v>151</v>
      </c>
      <c r="F8" s="21" t="s">
        <v>90</v>
      </c>
      <c r="G8" s="21"/>
      <c r="H8" s="21" t="s">
        <v>91</v>
      </c>
      <c r="I8" s="21" t="s">
        <v>164</v>
      </c>
      <c r="J8" s="21" t="s">
        <v>93</v>
      </c>
      <c r="K8" s="21"/>
      <c r="L8" s="21" t="s">
        <v>91</v>
      </c>
      <c r="M8" s="21" t="s">
        <v>170</v>
      </c>
      <c r="N8" s="21" t="s">
        <v>93</v>
      </c>
      <c r="O8" s="21"/>
      <c r="P8" s="21" t="s">
        <v>91</v>
      </c>
      <c r="Q8" s="46"/>
      <c r="R8" s="21"/>
      <c r="S8" s="21"/>
      <c r="T8" s="21"/>
      <c r="U8" s="21" t="s">
        <v>160</v>
      </c>
      <c r="V8" s="21" t="s">
        <v>90</v>
      </c>
      <c r="W8" s="21"/>
      <c r="X8" s="21" t="s">
        <v>91</v>
      </c>
    </row>
    <row r="9" spans="1:24" x14ac:dyDescent="0.15">
      <c r="A9" s="21" t="s">
        <v>120</v>
      </c>
      <c r="B9" s="21" t="s">
        <v>92</v>
      </c>
      <c r="C9" s="21"/>
      <c r="D9" s="21"/>
      <c r="E9" s="21" t="s">
        <v>3</v>
      </c>
      <c r="F9" s="21" t="s">
        <v>93</v>
      </c>
      <c r="G9" s="21"/>
      <c r="H9" s="21" t="s">
        <v>91</v>
      </c>
      <c r="I9" s="21" t="s">
        <v>165</v>
      </c>
      <c r="J9" s="21" t="s">
        <v>90</v>
      </c>
      <c r="K9" s="21"/>
      <c r="L9" s="21" t="s">
        <v>91</v>
      </c>
      <c r="M9" s="21" t="s">
        <v>171</v>
      </c>
      <c r="N9" s="21" t="s">
        <v>93</v>
      </c>
      <c r="O9" s="21"/>
      <c r="P9" s="21" t="s">
        <v>91</v>
      </c>
    </row>
    <row r="10" spans="1:24" x14ac:dyDescent="0.15">
      <c r="A10" s="21" t="s">
        <v>121</v>
      </c>
      <c r="B10" s="21" t="s">
        <v>92</v>
      </c>
      <c r="C10" s="21"/>
      <c r="D10" s="21"/>
      <c r="E10" s="21" t="s">
        <v>152</v>
      </c>
      <c r="F10" s="21" t="s">
        <v>90</v>
      </c>
      <c r="G10" s="21"/>
      <c r="H10" s="21" t="s">
        <v>91</v>
      </c>
      <c r="I10" s="21" t="s">
        <v>166</v>
      </c>
      <c r="J10" s="21" t="s">
        <v>90</v>
      </c>
      <c r="K10" s="21"/>
      <c r="L10" s="21" t="s">
        <v>91</v>
      </c>
      <c r="M10" s="21" t="s">
        <v>153</v>
      </c>
      <c r="N10" s="21" t="s">
        <v>90</v>
      </c>
      <c r="O10" s="21"/>
      <c r="P10" s="21" t="s">
        <v>91</v>
      </c>
    </row>
    <row r="11" spans="1:24" x14ac:dyDescent="0.15">
      <c r="A11" s="21" t="s">
        <v>122</v>
      </c>
      <c r="B11" s="21" t="s">
        <v>88</v>
      </c>
      <c r="C11" s="21"/>
      <c r="D11" s="21"/>
      <c r="E11" s="21" t="s">
        <v>153</v>
      </c>
      <c r="F11" s="21" t="s">
        <v>90</v>
      </c>
      <c r="G11" s="21"/>
      <c r="H11" s="21" t="s">
        <v>91</v>
      </c>
      <c r="I11" s="21" t="s">
        <v>153</v>
      </c>
      <c r="J11" s="21" t="s">
        <v>90</v>
      </c>
      <c r="K11" s="21"/>
      <c r="L11" s="21" t="s">
        <v>91</v>
      </c>
      <c r="M11" s="21"/>
      <c r="N11" s="21"/>
      <c r="O11" s="21"/>
      <c r="P11" s="21"/>
    </row>
    <row r="12" spans="1:24" x14ac:dyDescent="0.15">
      <c r="A12" s="21" t="s">
        <v>123</v>
      </c>
      <c r="B12" s="21" t="s">
        <v>90</v>
      </c>
      <c r="C12" s="21"/>
      <c r="D12" s="21"/>
    </row>
    <row r="13" spans="1:24" x14ac:dyDescent="0.15">
      <c r="A13" s="21" t="s">
        <v>124</v>
      </c>
      <c r="B13" s="21" t="s">
        <v>90</v>
      </c>
      <c r="C13" s="21"/>
      <c r="D13" s="21"/>
    </row>
    <row r="14" spans="1:24" x14ac:dyDescent="0.15">
      <c r="A14" s="21" t="s">
        <v>125</v>
      </c>
      <c r="B14" s="21" t="s">
        <v>90</v>
      </c>
      <c r="C14" s="21"/>
      <c r="D14" s="21"/>
    </row>
    <row r="15" spans="1:24" x14ac:dyDescent="0.15">
      <c r="A15" s="21" t="s">
        <v>126</v>
      </c>
      <c r="B15" s="21" t="s">
        <v>90</v>
      </c>
      <c r="C15" s="21"/>
      <c r="D15" s="21"/>
    </row>
    <row r="16" spans="1:24" x14ac:dyDescent="0.15">
      <c r="A16" s="21" t="s">
        <v>127</v>
      </c>
      <c r="B16" s="21" t="s">
        <v>90</v>
      </c>
      <c r="C16" s="21"/>
      <c r="D16" s="21"/>
    </row>
    <row r="17" spans="1:4" x14ac:dyDescent="0.15">
      <c r="A17" s="21" t="s">
        <v>128</v>
      </c>
      <c r="B17" s="21" t="s">
        <v>88</v>
      </c>
      <c r="C17" s="21"/>
      <c r="D17" s="21"/>
    </row>
    <row r="18" spans="1:4" x14ac:dyDescent="0.15">
      <c r="A18" s="21" t="s">
        <v>129</v>
      </c>
      <c r="B18" s="21" t="s">
        <v>93</v>
      </c>
      <c r="C18" s="21"/>
      <c r="D18" s="21"/>
    </row>
    <row r="19" spans="1:4" x14ac:dyDescent="0.15">
      <c r="A19" s="21" t="s">
        <v>130</v>
      </c>
      <c r="B19" s="21" t="s">
        <v>93</v>
      </c>
      <c r="C19" s="21"/>
      <c r="D19" s="21"/>
    </row>
    <row r="20" spans="1:4" x14ac:dyDescent="0.15">
      <c r="A20" s="21" t="s">
        <v>131</v>
      </c>
      <c r="B20" s="21" t="s">
        <v>93</v>
      </c>
      <c r="C20" s="21"/>
      <c r="D20" s="21"/>
    </row>
    <row r="21" spans="1:4" x14ac:dyDescent="0.15">
      <c r="A21" s="21" t="s">
        <v>3</v>
      </c>
      <c r="B21" s="21" t="s">
        <v>93</v>
      </c>
      <c r="C21" s="21"/>
      <c r="D21" s="21"/>
    </row>
    <row r="22" spans="1:4" x14ac:dyDescent="0.15">
      <c r="A22" s="21" t="s">
        <v>132</v>
      </c>
      <c r="B22" s="21" t="s">
        <v>93</v>
      </c>
      <c r="C22" s="21"/>
      <c r="D22" s="21"/>
    </row>
    <row r="23" spans="1:4" x14ac:dyDescent="0.15">
      <c r="A23" s="21" t="s">
        <v>133</v>
      </c>
      <c r="B23" s="21" t="s">
        <v>93</v>
      </c>
      <c r="C23" s="21"/>
      <c r="D23" s="21"/>
    </row>
    <row r="24" spans="1:4" x14ac:dyDescent="0.15">
      <c r="A24" s="21" t="s">
        <v>134</v>
      </c>
      <c r="B24" s="21" t="s">
        <v>93</v>
      </c>
      <c r="C24" s="21"/>
      <c r="D24" s="21"/>
    </row>
    <row r="25" spans="1:4" x14ac:dyDescent="0.15">
      <c r="A25" s="21" t="s">
        <v>135</v>
      </c>
      <c r="B25" s="21" t="s">
        <v>93</v>
      </c>
      <c r="C25" s="21"/>
      <c r="D25" s="21"/>
    </row>
    <row r="26" spans="1:4" x14ac:dyDescent="0.15">
      <c r="A26" s="21" t="s">
        <v>136</v>
      </c>
      <c r="B26" s="21" t="s">
        <v>93</v>
      </c>
      <c r="C26" s="21"/>
      <c r="D26" s="21"/>
    </row>
    <row r="27" spans="1:4" x14ac:dyDescent="0.15">
      <c r="A27" s="21" t="s">
        <v>137</v>
      </c>
      <c r="B27" s="21" t="s">
        <v>93</v>
      </c>
      <c r="C27" s="21"/>
      <c r="D27" s="21"/>
    </row>
    <row r="28" spans="1:4" x14ac:dyDescent="0.15">
      <c r="A28" s="21" t="s">
        <v>138</v>
      </c>
      <c r="B28" s="21" t="s">
        <v>93</v>
      </c>
      <c r="C28" s="21"/>
      <c r="D28" s="21"/>
    </row>
    <row r="29" spans="1:4" x14ac:dyDescent="0.15">
      <c r="A29" s="21" t="s">
        <v>139</v>
      </c>
      <c r="B29" s="21" t="s">
        <v>93</v>
      </c>
      <c r="C29" s="21"/>
      <c r="D29" s="21"/>
    </row>
    <row r="30" spans="1:4" x14ac:dyDescent="0.15">
      <c r="A30" s="21" t="s">
        <v>140</v>
      </c>
      <c r="B30" s="21" t="s">
        <v>93</v>
      </c>
      <c r="C30" s="21"/>
      <c r="D30" s="21"/>
    </row>
    <row r="31" spans="1:4" x14ac:dyDescent="0.15">
      <c r="A31" s="21" t="s">
        <v>141</v>
      </c>
      <c r="B31" s="21" t="s">
        <v>88</v>
      </c>
      <c r="C31" s="21"/>
      <c r="D31" s="21"/>
    </row>
    <row r="32" spans="1:4" x14ac:dyDescent="0.15">
      <c r="A32" s="21" t="s">
        <v>142</v>
      </c>
      <c r="B32" s="21" t="s">
        <v>90</v>
      </c>
      <c r="C32" s="21"/>
      <c r="D32" s="21"/>
    </row>
    <row r="33" spans="1:9" x14ac:dyDescent="0.15">
      <c r="A33" s="21" t="s">
        <v>143</v>
      </c>
      <c r="B33" s="21" t="s">
        <v>92</v>
      </c>
      <c r="C33" s="21"/>
      <c r="D33" s="21"/>
    </row>
    <row r="34" spans="1:9" x14ac:dyDescent="0.15">
      <c r="A34" s="21"/>
      <c r="B34" s="21"/>
      <c r="C34" s="21"/>
      <c r="D34" s="21"/>
    </row>
    <row r="35" spans="1:9" x14ac:dyDescent="0.15">
      <c r="A35" s="21"/>
      <c r="B35" s="21"/>
      <c r="C35" s="21"/>
      <c r="D35" s="21"/>
      <c r="F35" s="18"/>
      <c r="G35" s="18"/>
      <c r="H35" s="18"/>
      <c r="I35" s="18"/>
    </row>
    <row r="36" spans="1:9" x14ac:dyDescent="0.15">
      <c r="A36" s="21"/>
      <c r="B36" s="21"/>
      <c r="C36" s="21"/>
      <c r="D36" s="21"/>
      <c r="F36" s="18"/>
      <c r="G36" s="18"/>
      <c r="H36" s="18"/>
      <c r="I36" s="18"/>
    </row>
    <row r="37" spans="1:9" x14ac:dyDescent="0.15">
      <c r="A37" s="21"/>
      <c r="B37" s="21"/>
      <c r="C37" s="21"/>
      <c r="D37" s="21"/>
      <c r="F37" s="18"/>
      <c r="G37" s="18"/>
      <c r="H37" s="18"/>
      <c r="I37" s="18"/>
    </row>
    <row r="38" spans="1:9" x14ac:dyDescent="0.15">
      <c r="A38" s="21"/>
      <c r="B38" s="21"/>
      <c r="C38" s="21"/>
      <c r="D38" s="21"/>
      <c r="F38" s="18"/>
      <c r="G38" s="18"/>
      <c r="H38" s="18"/>
      <c r="I38" s="18"/>
    </row>
    <row r="39" spans="1:9" x14ac:dyDescent="0.15">
      <c r="A39" s="21"/>
      <c r="B39" s="21"/>
      <c r="C39" s="21"/>
      <c r="D39" s="21"/>
      <c r="F39" s="18"/>
      <c r="G39" s="18"/>
      <c r="H39" s="18"/>
      <c r="I39" s="18"/>
    </row>
    <row r="40" spans="1:9" x14ac:dyDescent="0.15">
      <c r="A40" s="21"/>
      <c r="B40" s="21"/>
      <c r="C40" s="21"/>
      <c r="D40" s="21"/>
      <c r="F40" s="18"/>
      <c r="G40" s="18"/>
      <c r="H40" s="18"/>
      <c r="I40" s="18"/>
    </row>
    <row r="41" spans="1:9" x14ac:dyDescent="0.15">
      <c r="A41" s="21"/>
      <c r="B41" s="21"/>
      <c r="C41" s="21"/>
      <c r="D41" s="21"/>
      <c r="F41" s="18"/>
      <c r="G41" s="18"/>
      <c r="H41" s="18"/>
      <c r="I41" s="18"/>
    </row>
    <row r="42" spans="1:9" x14ac:dyDescent="0.15">
      <c r="A42" s="21"/>
      <c r="B42" s="21"/>
      <c r="C42" s="21"/>
      <c r="D42" s="21"/>
      <c r="F42" s="18"/>
      <c r="G42" s="18"/>
      <c r="H42" s="18"/>
      <c r="I42" s="18"/>
    </row>
    <row r="43" spans="1:9" x14ac:dyDescent="0.15">
      <c r="F43" s="18"/>
      <c r="G43" s="18"/>
      <c r="H43" s="18"/>
      <c r="I43" s="18"/>
    </row>
    <row r="44" spans="1:9" x14ac:dyDescent="0.15">
      <c r="F44" s="18"/>
      <c r="G44" s="18"/>
      <c r="H44" s="18"/>
      <c r="I44" s="18"/>
    </row>
    <row r="45" spans="1:9" x14ac:dyDescent="0.15">
      <c r="F45" s="18"/>
      <c r="G45" s="18"/>
      <c r="H45" s="18"/>
      <c r="I45" s="18"/>
    </row>
    <row r="46" spans="1:9" x14ac:dyDescent="0.15">
      <c r="F46" s="18"/>
      <c r="G46" s="18"/>
      <c r="H46" s="18"/>
      <c r="I46" s="18"/>
    </row>
    <row r="47" spans="1:9" x14ac:dyDescent="0.15">
      <c r="F47" s="18"/>
      <c r="G47" s="18"/>
      <c r="H47" s="18"/>
      <c r="I47" s="18"/>
    </row>
    <row r="48" spans="1:9" x14ac:dyDescent="0.15">
      <c r="F48" s="18"/>
      <c r="G48" s="18"/>
      <c r="H48" s="18"/>
      <c r="I48" s="18"/>
    </row>
    <row r="49" spans="6:9" x14ac:dyDescent="0.15">
      <c r="F49" s="18"/>
      <c r="G49" s="18"/>
      <c r="H49" s="18"/>
      <c r="I49" s="18"/>
    </row>
    <row r="50" spans="6:9" x14ac:dyDescent="0.15">
      <c r="F50" s="18"/>
      <c r="G50" s="18"/>
      <c r="H50" s="18"/>
      <c r="I50" s="18"/>
    </row>
    <row r="51" spans="6:9" x14ac:dyDescent="0.15">
      <c r="F51" s="18"/>
      <c r="G51" s="18"/>
      <c r="H51" s="18"/>
      <c r="I51" s="18"/>
    </row>
    <row r="52" spans="6:9" x14ac:dyDescent="0.15">
      <c r="F52" s="18"/>
      <c r="G52" s="18"/>
      <c r="H52" s="18"/>
      <c r="I52" s="18"/>
    </row>
    <row r="53" spans="6:9" x14ac:dyDescent="0.15">
      <c r="F53" s="18"/>
      <c r="G53" s="18"/>
      <c r="H53" s="18"/>
      <c r="I53" s="18"/>
    </row>
    <row r="54" spans="6:9" x14ac:dyDescent="0.15">
      <c r="F54" s="18"/>
      <c r="G54" s="18"/>
      <c r="H54" s="18"/>
      <c r="I54" s="18"/>
    </row>
    <row r="55" spans="6:9" x14ac:dyDescent="0.15">
      <c r="F55" s="18"/>
      <c r="G55" s="18"/>
      <c r="H55" s="18"/>
      <c r="I55" s="18"/>
    </row>
    <row r="56" spans="6:9" x14ac:dyDescent="0.15">
      <c r="F56" s="18"/>
      <c r="G56" s="18"/>
      <c r="H56" s="18"/>
      <c r="I56" s="18"/>
    </row>
    <row r="57" spans="6:9" x14ac:dyDescent="0.15">
      <c r="F57" s="18"/>
      <c r="G57" s="18"/>
      <c r="H57" s="18"/>
      <c r="I57" s="18"/>
    </row>
    <row r="58" spans="6:9" x14ac:dyDescent="0.15">
      <c r="F58" s="18"/>
      <c r="G58" s="18"/>
      <c r="H58" s="18"/>
      <c r="I58" s="18"/>
    </row>
    <row r="59" spans="6:9" x14ac:dyDescent="0.15">
      <c r="F59" s="18"/>
      <c r="G59" s="18"/>
      <c r="H59" s="18"/>
      <c r="I59" s="18"/>
    </row>
    <row r="60" spans="6:9" x14ac:dyDescent="0.15">
      <c r="F60" s="18"/>
      <c r="G60" s="18"/>
      <c r="H60" s="18"/>
      <c r="I60" s="18"/>
    </row>
    <row r="61" spans="6:9" x14ac:dyDescent="0.15">
      <c r="F61" s="18"/>
      <c r="G61" s="18"/>
      <c r="H61" s="18"/>
      <c r="I61" s="18"/>
    </row>
    <row r="62" spans="6:9" x14ac:dyDescent="0.15">
      <c r="F62" s="18"/>
      <c r="G62" s="18"/>
      <c r="H62" s="18"/>
      <c r="I62" s="18"/>
    </row>
    <row r="63" spans="6:9" x14ac:dyDescent="0.15">
      <c r="F63" s="18"/>
      <c r="G63" s="18"/>
      <c r="H63" s="18"/>
      <c r="I63" s="18"/>
    </row>
    <row r="64" spans="6:9" x14ac:dyDescent="0.15">
      <c r="F64" s="18"/>
      <c r="G64" s="18"/>
      <c r="H64" s="18"/>
      <c r="I64" s="18"/>
    </row>
    <row r="65" spans="6:9" x14ac:dyDescent="0.15">
      <c r="F65" s="18"/>
      <c r="G65" s="18"/>
      <c r="H65" s="18"/>
      <c r="I65" s="18"/>
    </row>
    <row r="66" spans="6:9" x14ac:dyDescent="0.15">
      <c r="F66" s="18"/>
      <c r="G66" s="18"/>
      <c r="H66" s="18"/>
      <c r="I66" s="18"/>
    </row>
  </sheetData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2018-01-08T16:16:19Z</dcterms:modified>
</cp:coreProperties>
</file>